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d.docs.live.net/641e42b44799d5b8/Desktop/"/>
    </mc:Choice>
  </mc:AlternateContent>
  <xr:revisionPtr revIDLastSave="10" documentId="8_{C60EB62E-0761-47AA-9970-724CD92D95FE}" xr6:coauthVersionLast="47" xr6:coauthVersionMax="47" xr10:uidLastSave="{1942EA61-EDD9-465D-82C0-22F91BA506FD}"/>
  <bookViews>
    <workbookView xWindow="-120" yWindow="-120" windowWidth="29040" windowHeight="15720" tabRatio="829" activeTab="13" xr2:uid="{78B408C9-BEC0-4B81-9F5D-4B06325D51C7}"/>
  </bookViews>
  <sheets>
    <sheet name="Main" sheetId="16" r:id="rId1"/>
    <sheet name="January" sheetId="3" r:id="rId2"/>
    <sheet name="February" sheetId="4" r:id="rId3"/>
    <sheet name="March" sheetId="5" r:id="rId4"/>
    <sheet name="April" sheetId="6" r:id="rId5"/>
    <sheet name="May" sheetId="7" r:id="rId6"/>
    <sheet name="June" sheetId="15" r:id="rId7"/>
    <sheet name="July" sheetId="9" r:id="rId8"/>
    <sheet name="August" sheetId="10" r:id="rId9"/>
    <sheet name="September" sheetId="11" r:id="rId10"/>
    <sheet name="October" sheetId="12" r:id="rId11"/>
    <sheet name="November" sheetId="13" r:id="rId12"/>
    <sheet name="December" sheetId="14" r:id="rId13"/>
    <sheet name="Categories" sheetId="2" r:id="rId14"/>
    <sheet name="master_table" sheetId="48" r:id="rId15"/>
  </sheets>
  <definedNames>
    <definedName name="_xleta.SUM" hidden="1" xlm="1">#NAME?</definedName>
    <definedName name="ExternalData_1" localSheetId="14" hidden="1">master_table!$A$1:$D$113</definedName>
    <definedName name="Slicer_Category">#N/A</definedName>
    <definedName name="Slicer_Months__Date">#N/A</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ECF6E95-AA9C-4FCC-8E08-78E62EF81FBF}" keepAlive="1" name="Query - April_Table" description="Connection to the 'April_Table' query in the workbook." type="5" refreshedVersion="0" background="1" saveData="1">
    <dbPr connection="Provider=Microsoft.Mashup.OleDb.1;Data Source=$Workbook$;Location=April_Table;Extended Properties=&quot;&quot;" command="SELECT * FROM [April_Table]"/>
  </connection>
  <connection id="2" xr16:uid="{8E7F71C5-4A04-4883-A093-A3560DC89947}" keepAlive="1" name="Query - August_Table" description="Connection to the 'August_Table' query in the workbook." type="5" refreshedVersion="0" background="1" saveData="1">
    <dbPr connection="Provider=Microsoft.Mashup.OleDb.1;Data Source=$Workbook$;Location=August_Table;Extended Properties=&quot;&quot;" command="SELECT * FROM [August_Table]"/>
  </connection>
  <connection id="3" xr16:uid="{83AEB371-4656-4D15-9107-838815DD95FD}" keepAlive="1" name="Query - December_Table" description="Connection to the 'December_Table' query in the workbook." type="5" refreshedVersion="0" background="1" saveData="1">
    <dbPr connection="Provider=Microsoft.Mashup.OleDb.1;Data Source=$Workbook$;Location=December_Table;Extended Properties=&quot;&quot;" command="SELECT * FROM [December_Table]"/>
  </connection>
  <connection id="4" xr16:uid="{09449728-6B4C-4897-9131-2A6253D961B8}" keepAlive="1" name="Query - February_Table" description="Connection to the 'February_Table' query in the workbook." type="5" refreshedVersion="0" background="1" saveData="1">
    <dbPr connection="Provider=Microsoft.Mashup.OleDb.1;Data Source=$Workbook$;Location=February_Table;Extended Properties=&quot;&quot;" command="SELECT * FROM [February_Table]"/>
  </connection>
  <connection id="5" xr16:uid="{96620A43-2860-4041-BEDC-B53A27179511}" keepAlive="1" name="Query - January_Table" description="Connection to the 'January_Table' query in the workbook." type="5" refreshedVersion="8" background="1" saveData="1">
    <dbPr connection="Provider=Microsoft.Mashup.OleDb.1;Data Source=$Workbook$;Location=January_Table;Extended Properties=&quot;&quot;" command="SELECT * FROM [January_Table]"/>
  </connection>
  <connection id="6" xr16:uid="{97CD5052-6883-4624-BBC2-947A9DE4412B}" keepAlive="1" name="Query - July_Table" description="Connection to the 'July_Table' query in the workbook." type="5" refreshedVersion="0" background="1" saveData="1">
    <dbPr connection="Provider=Microsoft.Mashup.OleDb.1;Data Source=$Workbook$;Location=July_Table;Extended Properties=&quot;&quot;" command="SELECT * FROM [July_Table]"/>
  </connection>
  <connection id="7" xr16:uid="{ED122A88-B6A4-4CB8-8378-1439BCBF0D1F}" keepAlive="1" name="Query - June_Table" description="Connection to the 'June_Table' query in the workbook." type="5" refreshedVersion="0" background="1" saveData="1">
    <dbPr connection="Provider=Microsoft.Mashup.OleDb.1;Data Source=$Workbook$;Location=June_Table;Extended Properties=&quot;&quot;" command="SELECT * FROM [June_Table]"/>
  </connection>
  <connection id="8" xr16:uid="{AAA34A74-8CDB-4140-B73F-BCA7EF2F56BE}" keepAlive="1" name="Query - March_Table" description="Connection to the 'March_Table' query in the workbook." type="5" refreshedVersion="0" background="1" saveData="1">
    <dbPr connection="Provider=Microsoft.Mashup.OleDb.1;Data Source=$Workbook$;Location=March_Table;Extended Properties=&quot;&quot;" command="SELECT * FROM [March_Table]"/>
  </connection>
  <connection id="9" xr16:uid="{DA8B2275-FE51-43D7-A516-85DA881829D0}" keepAlive="1" name="Query - master_table" description="Connection to the 'master_table' query in the workbook." type="5" refreshedVersion="8" background="1" saveData="1">
    <dbPr connection="Provider=Microsoft.Mashup.OleDb.1;Data Source=$Workbook$;Location=master_table;Extended Properties=&quot;&quot;" command="SELECT * FROM [master_table]"/>
  </connection>
  <connection id="10" xr16:uid="{F7C80F33-7775-420C-A975-6C0A3941A88E}" keepAlive="1" name="Query - May_Table" description="Connection to the 'May_Table' query in the workbook." type="5" refreshedVersion="0" background="1" saveData="1">
    <dbPr connection="Provider=Microsoft.Mashup.OleDb.1;Data Source=$Workbook$;Location=May_Table;Extended Properties=&quot;&quot;" command="SELECT * FROM [May_Table]"/>
  </connection>
  <connection id="11" xr16:uid="{0F3589A8-C4E8-4F19-822A-753C9D54A9E7}" keepAlive="1" name="Query - November_Table" description="Connection to the 'November_Table' query in the workbook." type="5" refreshedVersion="0" background="1" saveData="1">
    <dbPr connection="Provider=Microsoft.Mashup.OleDb.1;Data Source=$Workbook$;Location=November_Table;Extended Properties=&quot;&quot;" command="SELECT * FROM [November_Table]"/>
  </connection>
  <connection id="12" xr16:uid="{83DA7FA5-349A-4379-8036-F534A2531D65}" keepAlive="1" name="Query - October_Table" description="Connection to the 'October_Table' query in the workbook." type="5" refreshedVersion="0" background="1" saveData="1">
    <dbPr connection="Provider=Microsoft.Mashup.OleDb.1;Data Source=$Workbook$;Location=October_Table;Extended Properties=&quot;&quot;" command="SELECT * FROM [October_Table]"/>
  </connection>
  <connection id="13" xr16:uid="{724B71C2-88F3-4122-A508-4365C98B3D3B}" keepAlive="1" name="Query - September_Table" description="Connection to the 'September_Table' query in the workbook." type="5" refreshedVersion="0" background="1" saveData="1">
    <dbPr connection="Provider=Microsoft.Mashup.OleDb.1;Data Source=$Workbook$;Location=September_Table;Extended Properties=&quot;&quot;" command="SELECT * FROM [September_Table]"/>
  </connection>
</connections>
</file>

<file path=xl/sharedStrings.xml><?xml version="1.0" encoding="utf-8"?>
<sst xmlns="http://schemas.openxmlformats.org/spreadsheetml/2006/main" count="297" uniqueCount="62">
  <si>
    <t>Date</t>
  </si>
  <si>
    <t>Category</t>
  </si>
  <si>
    <t>Description</t>
  </si>
  <si>
    <t>Amount</t>
  </si>
  <si>
    <t>Rent</t>
  </si>
  <si>
    <t>Utilites</t>
  </si>
  <si>
    <t>Insurance</t>
  </si>
  <si>
    <t>Transportation</t>
  </si>
  <si>
    <t>Misc.</t>
  </si>
  <si>
    <t>Entertainment</t>
  </si>
  <si>
    <t>Income</t>
  </si>
  <si>
    <t>Groceries</t>
  </si>
  <si>
    <t>Row Labels</t>
  </si>
  <si>
    <t>Grand Total</t>
  </si>
  <si>
    <t>Sum of Amount</t>
  </si>
  <si>
    <t>ALDI 75010 PONCA CITY OK</t>
  </si>
  <si>
    <t>ONLINE PAYMENT THANK YOU</t>
  </si>
  <si>
    <t>AMAZON MARK* NO7W07EC3 AMAZON.COM/MAWA</t>
  </si>
  <si>
    <t>WAL-MART #0823 PONCA CITY OK</t>
  </si>
  <si>
    <t>MURPHY6607ATWALMART PONCA CITY OK</t>
  </si>
  <si>
    <t>CASH BACK REDEMPTION REF 169890758</t>
  </si>
  <si>
    <t>WM SUPERCENTER #978 620-442-2063 KS</t>
  </si>
  <si>
    <t>DOLLAR GENERAL #23987 ARKANSAS CITYKS</t>
  </si>
  <si>
    <t>ITEM TRANSFER, ACCT BAL TRANSFER (TF)</t>
  </si>
  <si>
    <t>Keyword</t>
  </si>
  <si>
    <t>Grocery</t>
  </si>
  <si>
    <t>LOWES #00072* PONCA CITY OK</t>
  </si>
  <si>
    <t>PHILLIPS 66 - JIFFY TRIP NEWKIRK OK</t>
  </si>
  <si>
    <t>*BANK ADJUSTMENT CONCORD CA</t>
  </si>
  <si>
    <t>SMARTYPLUS.NET 877-8080810 CA</t>
  </si>
  <si>
    <t>SNHU WEB CASHIER 877-455-7648 NH</t>
  </si>
  <si>
    <t>SMARTYPLUS.NET 6NR Los Angeles CA</t>
  </si>
  <si>
    <t>SMARTYPLUS.NET 633 310.593.4557 CA</t>
  </si>
  <si>
    <t>SMARTYPLUS.NET V9D 310.593.4557 CA</t>
  </si>
  <si>
    <t>INTEREST ADJ - PURCHASES REFUND</t>
  </si>
  <si>
    <t>ADJUSTMENT-PURCHASES</t>
  </si>
  <si>
    <t>AMAZON MARK* NO7W07EC3 SEATTLE WA</t>
  </si>
  <si>
    <t>AMAZON PRIME*DS2CA0IB3 Amzn.com/billWA</t>
  </si>
  <si>
    <t>TMOBILE*POSTPAID PDA 800-937-8997 WA</t>
  </si>
  <si>
    <t>WESTLAKE HARDWARE #064 ARKANSAS CITYKS</t>
  </si>
  <si>
    <t>Months (Date)</t>
  </si>
  <si>
    <t>DILLONS #0038 ARKANSAS CITYKS</t>
  </si>
  <si>
    <t>JUMP START 5 HAYSVILLE KS</t>
  </si>
  <si>
    <t>SQ *BURGER JUNKIE LLC ARKANSAS CITYKS</t>
  </si>
  <si>
    <t>SQ *IONIC SALON Arkansas CityKS</t>
  </si>
  <si>
    <t>ALDI 46066 WICHITA KS</t>
  </si>
  <si>
    <t>NTTA AUTOCHARGE 972-818-6882 TX</t>
  </si>
  <si>
    <t>CASH BACK REDEMPTION REF 173963334</t>
  </si>
  <si>
    <t>WICHITA VEHREG WWW.TEXAS.GOVTX</t>
  </si>
  <si>
    <t>TX.GOV*SERVICEFEE-DIR WWW.TEXAS.GOVTX</t>
  </si>
  <si>
    <t>STARBUCKS STORE 69395 IOWA PARK TX</t>
  </si>
  <si>
    <t>MURPHY USA 7858 WICHITA FALLSTX</t>
  </si>
  <si>
    <t>7-ELEVEN 24034 WICHITA FALLSTX</t>
  </si>
  <si>
    <t>ALDI 75059 WICHITA FALLSTX</t>
  </si>
  <si>
    <t>WAL-MART #0420 WICHITA FALLSTX</t>
  </si>
  <si>
    <t>2PAYCOM CENTER-LEVY CONC OKLAHOMA CITYOK</t>
  </si>
  <si>
    <t>TM *KATY PERRY - THE L 800-653-8000 CA</t>
  </si>
  <si>
    <t>AMAZON PRIME*NI2LS2MF2 Amzn.com/billWA</t>
  </si>
  <si>
    <t>SQ *BOTANICA, INC Wichita KS</t>
  </si>
  <si>
    <t>Utilties</t>
  </si>
  <si>
    <t>Fraud</t>
  </si>
  <si>
    <t>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</si>
</sst>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5" formatCode="0.00_);[Red]\(0.00\)"/>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44" fontId="0" fillId="0" borderId="0" xfId="0" applyNumberFormat="1"/>
    <xf numFmtId="40" fontId="0" fillId="0" borderId="0" xfId="0" applyNumberFormat="1"/>
    <xf numFmtId="165" fontId="0" fillId="0" borderId="0" xfId="0" applyNumberFormat="1"/>
  </cellXfs>
  <cellStyles count="1">
    <cellStyle name="Normal" xfId="0" builtinId="0"/>
  </cellStyles>
  <dxfs count="7">
    <dxf>
      <numFmt numFmtId="165" formatCode="0.00_);[Red]\(0.00\)"/>
    </dxf>
    <dxf>
      <numFmt numFmtId="19" formatCode="m/d/yyyy"/>
    </dxf>
    <dxf>
      <numFmt numFmtId="8" formatCode="#,##0.00_);[Red]\(#,##0.00\)"/>
    </dxf>
    <dxf>
      <numFmt numFmtId="165" formatCode="0.00_);[Red]\(0.00\)"/>
    </dxf>
    <dxf>
      <numFmt numFmtId="165" formatCode="0.00_);[Red]\(0.00\)"/>
    </dxf>
    <dxf>
      <numFmt numFmtId="0" formatCode="General"/>
    </dxf>
    <dxf>
      <numFmt numFmtId="8" formatCode="#,##0.00_);[Red]\(#,##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[Finacnes_1.0.xlsm]Main!PivotTable1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Main!$F$4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Main!$E$5:$E$11</c:f>
              <c:strCache>
                <c:ptCount val="6"/>
                <c:pt idx="0">
                  <c:v>Entertainment</c:v>
                </c:pt>
                <c:pt idx="1">
                  <c:v>Fraud</c:v>
                </c:pt>
                <c:pt idx="2">
                  <c:v>Grocery</c:v>
                </c:pt>
                <c:pt idx="3">
                  <c:v>Income</c:v>
                </c:pt>
                <c:pt idx="4">
                  <c:v>Misc.</c:v>
                </c:pt>
                <c:pt idx="5">
                  <c:v>Transportation</c:v>
                </c:pt>
              </c:strCache>
            </c:strRef>
          </c:cat>
          <c:val>
            <c:numRef>
              <c:f>Main!$F$5:$F$11</c:f>
              <c:numCache>
                <c:formatCode>0.00_);[Red]\(0.00\)</c:formatCode>
                <c:ptCount val="6"/>
                <c:pt idx="0">
                  <c:v>-249.32999999999998</c:v>
                </c:pt>
                <c:pt idx="1">
                  <c:v>-136.83000000000001</c:v>
                </c:pt>
                <c:pt idx="2">
                  <c:v>-404.75</c:v>
                </c:pt>
                <c:pt idx="3">
                  <c:v>2052</c:v>
                </c:pt>
                <c:pt idx="4">
                  <c:v>-125.55</c:v>
                </c:pt>
                <c:pt idx="5">
                  <c:v>-82.15</c:v>
                </c:pt>
              </c:numCache>
            </c:numRef>
          </c:val>
          <c:extLst>
            <c:ext xmlns:c16="http://schemas.microsoft.com/office/drawing/2014/chart" uri="{C3380CC4-5D6E-409C-BE32-E72D297353CC}">
              <c16:uniqueId val="{00000000-E605-46DA-B1B0-D79EBD4733A6}"/>
            </c:ext>
          </c:extLst>
        </c:ser>
        <c:dLbls>
          <c:dLblPos val="outEnd"/>
          <c:showLegendKey val="0"/>
          <c:showVal val="1"/>
          <c:showCatName val="0"/>
          <c:showSerName val="0"/>
          <c:showPercent val="0"/>
          <c:showBubbleSize val="0"/>
        </c:dLbls>
        <c:gapWidth val="219"/>
        <c:overlap val="-27"/>
        <c:axId val="1703892976"/>
        <c:axId val="1703893456"/>
      </c:barChart>
      <c:catAx>
        <c:axId val="17038929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703893456"/>
        <c:crosses val="autoZero"/>
        <c:auto val="1"/>
        <c:lblAlgn val="ctr"/>
        <c:lblOffset val="100"/>
        <c:noMultiLvlLbl val="0"/>
      </c:catAx>
      <c:valAx>
        <c:axId val="1703893456"/>
        <c:scaling>
          <c:orientation val="minMax"/>
        </c:scaling>
        <c:delete val="0"/>
        <c:axPos val="l"/>
        <c:majorGridlines>
          <c:spPr>
            <a:ln w="9525" cap="flat" cmpd="sng" algn="ctr">
              <a:solidFill>
                <a:schemeClr val="tx1">
                  <a:lumMod val="15000"/>
                  <a:lumOff val="85000"/>
                </a:schemeClr>
              </a:solidFill>
              <a:round/>
            </a:ln>
            <a:effectLst/>
          </c:spPr>
        </c:majorGridlines>
        <c:numFmt formatCode="0.00_);[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703892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576146</xdr:colOff>
      <xdr:row>1</xdr:row>
      <xdr:rowOff>23232</xdr:rowOff>
    </xdr:from>
    <xdr:to>
      <xdr:col>3</xdr:col>
      <xdr:colOff>264842</xdr:colOff>
      <xdr:row>4</xdr:row>
      <xdr:rowOff>111512</xdr:rowOff>
    </xdr:to>
    <xdr:sp macro="[0]!OpenFinanceEntry" textlink="">
      <xdr:nvSpPr>
        <xdr:cNvPr id="2" name="TextBox 1">
          <a:extLst>
            <a:ext uri="{FF2B5EF4-FFF2-40B4-BE49-F238E27FC236}">
              <a16:creationId xmlns:a16="http://schemas.microsoft.com/office/drawing/2014/main" id="{DFFBB42D-316F-37B5-15D9-71103C2C329F}"/>
            </a:ext>
          </a:extLst>
        </xdr:cNvPr>
        <xdr:cNvSpPr txBox="1"/>
      </xdr:nvSpPr>
      <xdr:spPr>
        <a:xfrm>
          <a:off x="1175524" y="213732"/>
          <a:ext cx="887452" cy="659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Open Finance</a:t>
          </a:r>
          <a:r>
            <a:rPr lang="en-US" sz="1100" baseline="0"/>
            <a:t> Entry</a:t>
          </a:r>
          <a:endParaRPr lang="en-US" sz="1100"/>
        </a:p>
      </xdr:txBody>
    </xdr:sp>
    <xdr:clientData/>
  </xdr:twoCellAnchor>
  <xdr:twoCellAnchor>
    <xdr:from>
      <xdr:col>2</xdr:col>
      <xdr:colOff>0</xdr:colOff>
      <xdr:row>5</xdr:row>
      <xdr:rowOff>167268</xdr:rowOff>
    </xdr:from>
    <xdr:to>
      <xdr:col>3</xdr:col>
      <xdr:colOff>204439</xdr:colOff>
      <xdr:row>9</xdr:row>
      <xdr:rowOff>27878</xdr:rowOff>
    </xdr:to>
    <xdr:sp macro="[0]!OpenFinanceSearch" textlink="">
      <xdr:nvSpPr>
        <xdr:cNvPr id="4" name="TextBox 3">
          <a:extLst>
            <a:ext uri="{FF2B5EF4-FFF2-40B4-BE49-F238E27FC236}">
              <a16:creationId xmlns:a16="http://schemas.microsoft.com/office/drawing/2014/main" id="{25344C0E-697F-8A78-D37D-0EC413D835E6}"/>
            </a:ext>
          </a:extLst>
        </xdr:cNvPr>
        <xdr:cNvSpPr txBox="1"/>
      </xdr:nvSpPr>
      <xdr:spPr>
        <a:xfrm>
          <a:off x="1198756" y="1119768"/>
          <a:ext cx="803817" cy="62261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Open Finance Search</a:t>
          </a:r>
        </a:p>
      </xdr:txBody>
    </xdr:sp>
    <xdr:clientData/>
  </xdr:twoCellAnchor>
  <xdr:twoCellAnchor>
    <xdr:from>
      <xdr:col>6</xdr:col>
      <xdr:colOff>977348</xdr:colOff>
      <xdr:row>0</xdr:row>
      <xdr:rowOff>185531</xdr:rowOff>
    </xdr:from>
    <xdr:to>
      <xdr:col>9</xdr:col>
      <xdr:colOff>2878206</xdr:colOff>
      <xdr:row>18</xdr:row>
      <xdr:rowOff>8283</xdr:rowOff>
    </xdr:to>
    <xdr:graphicFrame macro="">
      <xdr:nvGraphicFramePr>
        <xdr:cNvPr id="7" name="Chart 6">
          <a:extLst>
            <a:ext uri="{FF2B5EF4-FFF2-40B4-BE49-F238E27FC236}">
              <a16:creationId xmlns:a16="http://schemas.microsoft.com/office/drawing/2014/main" id="{63F529E3-9259-0A07-F83D-5A8B17E3D1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92352</xdr:colOff>
      <xdr:row>15</xdr:row>
      <xdr:rowOff>132936</xdr:rowOff>
    </xdr:from>
    <xdr:to>
      <xdr:col>7</xdr:col>
      <xdr:colOff>16152</xdr:colOff>
      <xdr:row>29</xdr:row>
      <xdr:rowOff>132936</xdr:rowOff>
    </xdr:to>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D072E223-60C4-B0E8-C4AE-7D0F87D75D8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430243" y="2990436"/>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260073</xdr:colOff>
      <xdr:row>15</xdr:row>
      <xdr:rowOff>34373</xdr:rowOff>
    </xdr:from>
    <xdr:to>
      <xdr:col>4</xdr:col>
      <xdr:colOff>896178</xdr:colOff>
      <xdr:row>29</xdr:row>
      <xdr:rowOff>34373</xdr:rowOff>
    </xdr:to>
    <mc:AlternateContent xmlns:mc="http://schemas.openxmlformats.org/markup-compatibility/2006" xmlns:a14="http://schemas.microsoft.com/office/drawing/2010/main">
      <mc:Choice Requires="a14">
        <xdr:graphicFrame macro="">
          <xdr:nvGraphicFramePr>
            <xdr:cNvPr id="13" name="Months (Date)">
              <a:extLst>
                <a:ext uri="{FF2B5EF4-FFF2-40B4-BE49-F238E27FC236}">
                  <a16:creationId xmlns:a16="http://schemas.microsoft.com/office/drawing/2014/main" id="{39887FA5-4ABC-688A-6B99-F389833E7D34}"/>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452769" y="2891873"/>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vin Thompson" refreshedDate="45833.780527314811" createdVersion="8" refreshedVersion="8" minRefreshableVersion="3" recordCount="112" xr:uid="{A3825841-B8FC-4E13-BC7F-044FB834BA91}">
  <cacheSource type="worksheet">
    <worksheetSource name="master_table"/>
  </cacheSource>
  <cacheFields count="6">
    <cacheField name="Date" numFmtId="14">
      <sharedItems containsSemiMixedTypes="0" containsNonDate="0" containsDate="1" containsString="0" minDate="2025-03-21T00:00:00" maxDate="2025-06-01T00:00:00" count="53">
        <d v="2025-03-30T00:00:00"/>
        <d v="2025-03-28T00:00:00"/>
        <d v="2025-03-27T00:00:00"/>
        <d v="2025-03-26T00:00:00"/>
        <d v="2025-03-24T00:00:00"/>
        <d v="2025-03-23T00:00:00"/>
        <d v="2025-03-21T00:00:00"/>
        <d v="2025-04-01T00:00:00"/>
        <d v="2025-04-02T00:00:00"/>
        <d v="2025-04-03T00:00:00"/>
        <d v="2025-04-04T00:00:00"/>
        <d v="2025-04-05T00:00:00"/>
        <d v="2025-04-06T00:00:00"/>
        <d v="2025-04-07T00:00:00"/>
        <d v="2025-04-09T00:00:00"/>
        <d v="2025-04-13T00:00:00"/>
        <d v="2025-04-14T00:00:00"/>
        <d v="2025-04-17T00:00:00"/>
        <d v="2025-04-19T00:00:00"/>
        <d v="2025-04-20T00:00:00"/>
        <d v="2025-04-24T00:00:00"/>
        <d v="2025-04-25T00:00:00"/>
        <d v="2025-04-26T00:00:00"/>
        <d v="2025-04-27T00:00:00"/>
        <d v="2025-04-28T00:00:00"/>
        <d v="2025-04-29T00:00:00"/>
        <d v="2025-04-30T00:00:00"/>
        <d v="2025-05-31T00:00:00"/>
        <d v="2025-05-30T00:00:00"/>
        <d v="2025-05-29T00:00:00"/>
        <d v="2025-05-28T00:00:00"/>
        <d v="2025-05-27T00:00:00"/>
        <d v="2025-05-25T00:00:00"/>
        <d v="2025-05-23T00:00:00"/>
        <d v="2025-05-22T00:00:00"/>
        <d v="2025-05-21T00:00:00"/>
        <d v="2025-05-19T00:00:00"/>
        <d v="2025-05-17T00:00:00"/>
        <d v="2025-05-16T00:00:00"/>
        <d v="2025-05-15T00:00:00"/>
        <d v="2025-05-14T00:00:00"/>
        <d v="2025-05-13T00:00:00"/>
        <d v="2025-05-12T00:00:00"/>
        <d v="2025-05-11T00:00:00"/>
        <d v="2025-05-10T00:00:00"/>
        <d v="2025-05-09T00:00:00"/>
        <d v="2025-05-08T00:00:00"/>
        <d v="2025-05-07T00:00:00"/>
        <d v="2025-05-06T00:00:00"/>
        <d v="2025-05-05T00:00:00"/>
        <d v="2025-05-04T00:00:00"/>
        <d v="2025-05-03T00:00:00"/>
        <d v="2025-05-02T00:00:00"/>
      </sharedItems>
      <fieldGroup par="5"/>
    </cacheField>
    <cacheField name="Category" numFmtId="0">
      <sharedItems count="8">
        <s v="Grocery"/>
        <s v="Misc."/>
        <s v="Transportation"/>
        <s v="Income"/>
        <s v="Entertainment"/>
        <s v="Utilties"/>
        <s v="Fraud"/>
        <s v="Uncategorized" u="1"/>
      </sharedItems>
    </cacheField>
    <cacheField name="Description" numFmtId="0">
      <sharedItems/>
    </cacheField>
    <cacheField name="Amount" numFmtId="165">
      <sharedItems containsSemiMixedTypes="0" containsString="0" containsNumber="1" minValue="-1980" maxValue="1166.2"/>
    </cacheField>
    <cacheField name="Days (Date)" numFmtId="0" databaseField="0">
      <fieldGroup base="0">
        <rangePr groupBy="days" startDate="2025-03-21T00:00:00" endDate="2025-06-01T00:00:00"/>
        <groupItems count="368">
          <s v="&lt;3/2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25"/>
        </groupItems>
      </fieldGroup>
    </cacheField>
    <cacheField name="Months (Date)" numFmtId="0" databaseField="0">
      <fieldGroup base="0">
        <rangePr groupBy="months" startDate="2025-03-21T00:00:00" endDate="2025-06-01T00:00:00"/>
        <groupItems count="14">
          <s v="&lt;3/21/2025"/>
          <s v="Jan"/>
          <s v="Feb"/>
          <s v="Mar"/>
          <s v="Apr"/>
          <s v="May"/>
          <s v="Jun"/>
          <s v="Jul"/>
          <s v="Aug"/>
          <s v="Sep"/>
          <s v="Oct"/>
          <s v="Nov"/>
          <s v="Dec"/>
          <s v="&gt;6/1/2025"/>
        </groupItems>
      </fieldGroup>
    </cacheField>
  </cacheFields>
  <extLst>
    <ext xmlns:x14="http://schemas.microsoft.com/office/spreadsheetml/2009/9/main" uri="{725AE2AE-9491-48be-B2B4-4EB974FC3084}">
      <x14:pivotCacheDefinition pivotCacheId="6989347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s v="ALDI 75010 PONCA CITY OK"/>
    <n v="-2.62"/>
  </r>
  <r>
    <x v="1"/>
    <x v="0"/>
    <s v="ALDI 75010 PONCA CITY OK"/>
    <n v="-2.67"/>
  </r>
  <r>
    <x v="1"/>
    <x v="0"/>
    <s v="ALDI 75010 PONCA CITY OK"/>
    <n v="-1.88"/>
  </r>
  <r>
    <x v="1"/>
    <x v="0"/>
    <s v="ALDI 75010 PONCA CITY OK"/>
    <n v="-1.1499999999999999"/>
  </r>
  <r>
    <x v="1"/>
    <x v="1"/>
    <s v="AMAZON MARK* NO7W07EC3 AMAZON.COM/MAWA"/>
    <n v="-168.12"/>
  </r>
  <r>
    <x v="2"/>
    <x v="0"/>
    <s v="ALDI 75010 PONCA CITY OK"/>
    <n v="-49.64"/>
  </r>
  <r>
    <x v="3"/>
    <x v="0"/>
    <s v="ALDI 75010 PONCA CITY OK"/>
    <n v="-2.2999999999999998"/>
  </r>
  <r>
    <x v="3"/>
    <x v="0"/>
    <s v="ALDI 75010 PONCA CITY OK"/>
    <n v="-1.97"/>
  </r>
  <r>
    <x v="3"/>
    <x v="0"/>
    <s v="WAL-MART #0823 PONCA CITY OK"/>
    <n v="-83.09"/>
  </r>
  <r>
    <x v="4"/>
    <x v="2"/>
    <s v="MURPHY6607ATWALMART PONCA CITY OK"/>
    <n v="-19.350000000000001"/>
  </r>
  <r>
    <x v="4"/>
    <x v="0"/>
    <s v="ALDI 75010 PONCA CITY OK"/>
    <n v="-28.67"/>
  </r>
  <r>
    <x v="4"/>
    <x v="0"/>
    <s v="ALDI 75010 PONCA CITY OK"/>
    <n v="-6.25"/>
  </r>
  <r>
    <x v="5"/>
    <x v="3"/>
    <s v="CASH BACK REDEMPTION REF 169890758"/>
    <n v="50"/>
  </r>
  <r>
    <x v="5"/>
    <x v="0"/>
    <s v="WM SUPERCENTER #978 620-442-2063 KS"/>
    <n v="-2.2999999999999998"/>
  </r>
  <r>
    <x v="5"/>
    <x v="0"/>
    <s v="ALDI 75010 PONCA CITY OK"/>
    <n v="-10.75"/>
  </r>
  <r>
    <x v="5"/>
    <x v="0"/>
    <s v="ALDI 75010 PONCA CITY OK"/>
    <n v="-2.41"/>
  </r>
  <r>
    <x v="6"/>
    <x v="0"/>
    <s v="DOLLAR GENERAL #23987 ARKANSAS CITYKS"/>
    <n v="-6.92"/>
  </r>
  <r>
    <x v="6"/>
    <x v="0"/>
    <s v="ALDI 75010 PONCA CITY OK"/>
    <n v="-5.71"/>
  </r>
  <r>
    <x v="6"/>
    <x v="0"/>
    <s v="ALDI 75010 PONCA CITY OK"/>
    <n v="-3.46"/>
  </r>
  <r>
    <x v="6"/>
    <x v="1"/>
    <s v="ITEM TRANSFER, ACCT BAL TRANSFER (TF)"/>
    <n v="25"/>
  </r>
  <r>
    <x v="6"/>
    <x v="1"/>
    <s v="ITEM TRANSFER, ACCT BAL TRANSFER (TF)"/>
    <n v="25"/>
  </r>
  <r>
    <x v="7"/>
    <x v="0"/>
    <s v="ALDI 75010 PONCA CITY OK"/>
    <n v="-68.09"/>
  </r>
  <r>
    <x v="8"/>
    <x v="4"/>
    <s v="WESTLAKE HARDWARE #064 ARKANSAS CITYKS"/>
    <n v="-51.18"/>
  </r>
  <r>
    <x v="9"/>
    <x v="5"/>
    <s v="TMOBILE*POSTPAID PDA 800-937-8997 WA"/>
    <n v="-28.88"/>
  </r>
  <r>
    <x v="10"/>
    <x v="0"/>
    <s v="ALDI 75010 PONCA CITY OK"/>
    <n v="-1.36"/>
  </r>
  <r>
    <x v="10"/>
    <x v="2"/>
    <s v="PHILLIPS 66 - JIFFY TRIP NEWKIRK OK"/>
    <n v="-16"/>
  </r>
  <r>
    <x v="11"/>
    <x v="1"/>
    <s v="AMAZON PRIME*DS2CA0IB3 Amzn.com/billWA"/>
    <n v="-8.11"/>
  </r>
  <r>
    <x v="12"/>
    <x v="0"/>
    <s v="ALDI 75010 PONCA CITY OK"/>
    <n v="-26.89"/>
  </r>
  <r>
    <x v="12"/>
    <x v="0"/>
    <s v="ALDI 75010 PONCA CITY OK"/>
    <n v="-5.24"/>
  </r>
  <r>
    <x v="13"/>
    <x v="0"/>
    <s v="ALDI 75010 PONCA CITY OK"/>
    <n v="-6.27"/>
  </r>
  <r>
    <x v="14"/>
    <x v="2"/>
    <s v="MURPHY6607ATWALMART PONCA CITY OK"/>
    <n v="-20.77"/>
  </r>
  <r>
    <x v="14"/>
    <x v="1"/>
    <s v="AMAZON MARK* NO7W07EC3 SEATTLE WA"/>
    <n v="157.31"/>
  </r>
  <r>
    <x v="15"/>
    <x v="6"/>
    <s v="ADJUSTMENT-PURCHASES"/>
    <n v="25"/>
  </r>
  <r>
    <x v="16"/>
    <x v="3"/>
    <s v="ONLINE PAYMENT THANK YOU"/>
    <n v="1166.2"/>
  </r>
  <r>
    <x v="17"/>
    <x v="3"/>
    <s v="INTEREST ADJ - PURCHASES REFUND"/>
    <n v="1"/>
  </r>
  <r>
    <x v="18"/>
    <x v="6"/>
    <s v="*BANK ADJUSTMENT CONCORD CA"/>
    <n v="25"/>
  </r>
  <r>
    <x v="18"/>
    <x v="6"/>
    <s v="*BANK ADJUSTMENT CONCORD CA"/>
    <n v="-25"/>
  </r>
  <r>
    <x v="18"/>
    <x v="6"/>
    <s v="*BANK ADJUSTMENT CONCORD CA"/>
    <n v="-25"/>
  </r>
  <r>
    <x v="18"/>
    <x v="6"/>
    <s v="*BANK ADJUSTMENT CONCORD CA"/>
    <n v="-25"/>
  </r>
  <r>
    <x v="18"/>
    <x v="6"/>
    <s v="SMARTYPLUS.NET 6NR Los Angeles CA"/>
    <n v="25"/>
  </r>
  <r>
    <x v="18"/>
    <x v="6"/>
    <s v="SMARTYPLUS.NET 633 310.593.4557 CA"/>
    <n v="25"/>
  </r>
  <r>
    <x v="18"/>
    <x v="6"/>
    <s v="SMARTYPLUS.NET V9D 310.593.4557 CA"/>
    <n v="25"/>
  </r>
  <r>
    <x v="19"/>
    <x v="1"/>
    <s v="SNHU WEB CASHIER 877-455-7648 NH"/>
    <n v="-1980"/>
  </r>
  <r>
    <x v="20"/>
    <x v="6"/>
    <s v="*BANK ADJUSTMENT CONCORD CA"/>
    <n v="-25"/>
  </r>
  <r>
    <x v="20"/>
    <x v="0"/>
    <s v="ALDI 75010 PONCA CITY OK"/>
    <n v="-4.2699999999999996"/>
  </r>
  <r>
    <x v="20"/>
    <x v="0"/>
    <s v="ALDI 75010 PONCA CITY OK"/>
    <n v="-3.67"/>
  </r>
  <r>
    <x v="20"/>
    <x v="6"/>
    <s v="SMARTYPLUS.NET 877-8080810 CA"/>
    <n v="25"/>
  </r>
  <r>
    <x v="21"/>
    <x v="0"/>
    <s v="ALDI 75010 PONCA CITY OK"/>
    <n v="-5.92"/>
  </r>
  <r>
    <x v="21"/>
    <x v="0"/>
    <s v="ALDI 75010 PONCA CITY OK"/>
    <n v="-1.57"/>
  </r>
  <r>
    <x v="22"/>
    <x v="0"/>
    <s v="ALDI 75010 PONCA CITY OK"/>
    <n v="-1.46"/>
  </r>
  <r>
    <x v="23"/>
    <x v="2"/>
    <s v="PHILLIPS 66 - JIFFY TRIP NEWKIRK OK"/>
    <n v="-22.14"/>
  </r>
  <r>
    <x v="24"/>
    <x v="0"/>
    <s v="ALDI 75010 PONCA CITY OK"/>
    <n v="-3.22"/>
  </r>
  <r>
    <x v="24"/>
    <x v="0"/>
    <s v="ALDI 75010 PONCA CITY OK"/>
    <n v="-38.229999999999997"/>
  </r>
  <r>
    <x v="25"/>
    <x v="1"/>
    <s v="LOWES #00072* PONCA CITY OK"/>
    <n v="-20.97"/>
  </r>
  <r>
    <x v="25"/>
    <x v="0"/>
    <s v="ALDI 75010 PONCA CITY OK"/>
    <n v="-64.98"/>
  </r>
  <r>
    <x v="26"/>
    <x v="0"/>
    <s v="ALDI 75010 PONCA CITY OK"/>
    <n v="-6.8"/>
  </r>
  <r>
    <x v="27"/>
    <x v="0"/>
    <s v="DILLONS #0038 ARKANSAS CITYKS"/>
    <n v="-9.7100000000000009"/>
  </r>
  <r>
    <x v="27"/>
    <x v="0"/>
    <s v="ALDI 75010 PONCA CITY OK"/>
    <n v="-24.17"/>
  </r>
  <r>
    <x v="28"/>
    <x v="0"/>
    <s v="DILLONS #0038 ARKANSAS CITYKS"/>
    <n v="-5.9"/>
  </r>
  <r>
    <x v="29"/>
    <x v="6"/>
    <s v="JUMP START 5 HAYSVILLE KS"/>
    <n v="-19"/>
  </r>
  <r>
    <x v="29"/>
    <x v="6"/>
    <s v="SQ *BURGER JUNKIE LLC ARKANSAS CITYKS"/>
    <n v="-18.559999999999999"/>
  </r>
  <r>
    <x v="29"/>
    <x v="6"/>
    <s v="SQ *IONIC SALON Arkansas CityKS"/>
    <n v="-22"/>
  </r>
  <r>
    <x v="29"/>
    <x v="0"/>
    <s v="ALDI 46066 WICHITA KS"/>
    <n v="-109.55"/>
  </r>
  <r>
    <x v="29"/>
    <x v="4"/>
    <s v="WESTLAKE HARDWARE #064 ARKANSAS CITYKS"/>
    <n v="-42.63"/>
  </r>
  <r>
    <x v="30"/>
    <x v="0"/>
    <s v="ALDI 75010 PONCA CITY OK"/>
    <n v="-3.46"/>
  </r>
  <r>
    <x v="31"/>
    <x v="6"/>
    <s v="NTTA AUTOCHARGE 972-818-6882 TX"/>
    <n v="-40"/>
  </r>
  <r>
    <x v="31"/>
    <x v="0"/>
    <s v="ALDI 75010 PONCA CITY OK"/>
    <n v="-2.09"/>
  </r>
  <r>
    <x v="31"/>
    <x v="0"/>
    <s v="ALDI 75010 PONCA CITY OK"/>
    <n v="-4.93"/>
  </r>
  <r>
    <x v="31"/>
    <x v="4"/>
    <s v="WESTLAKE HARDWARE #064 ARKANSAS CITYKS"/>
    <n v="-86"/>
  </r>
  <r>
    <x v="32"/>
    <x v="0"/>
    <s v="DOLLAR GENERAL #23987 ARKANSAS CITYKS"/>
    <n v="-8.42"/>
  </r>
  <r>
    <x v="33"/>
    <x v="3"/>
    <s v="CASH BACK REDEMPTION REF 173963334"/>
    <n v="50"/>
  </r>
  <r>
    <x v="33"/>
    <x v="2"/>
    <s v="MURPHY6607ATWALMART PONCA CITY OK"/>
    <n v="-20.010000000000002"/>
  </r>
  <r>
    <x v="33"/>
    <x v="0"/>
    <s v="ALDI 75010 PONCA CITY OK"/>
    <n v="-2.09"/>
  </r>
  <r>
    <x v="33"/>
    <x v="0"/>
    <s v="ALDI 75010 PONCA CITY OK"/>
    <n v="-1.89"/>
  </r>
  <r>
    <x v="34"/>
    <x v="3"/>
    <s v="INTEREST ADJ - PURCHASES REFUND"/>
    <n v="2"/>
  </r>
  <r>
    <x v="34"/>
    <x v="1"/>
    <s v="WICHITA VEHREG WWW.TEXAS.GOVTX"/>
    <n v="-72.5"/>
  </r>
  <r>
    <x v="34"/>
    <x v="6"/>
    <s v="TX.GOV*SERVICEFEE-DIR WWW.TEXAS.GOVTX"/>
    <n v="-2"/>
  </r>
  <r>
    <x v="34"/>
    <x v="6"/>
    <s v="STARBUCKS STORE 69395 IOWA PARK TX"/>
    <n v="-9.4700000000000006"/>
  </r>
  <r>
    <x v="34"/>
    <x v="2"/>
    <s v="MURPHY USA 7858 WICHITA FALLSTX"/>
    <n v="-17.600000000000001"/>
  </r>
  <r>
    <x v="34"/>
    <x v="2"/>
    <s v="7-ELEVEN 24034 WICHITA FALLSTX"/>
    <n v="-5"/>
  </r>
  <r>
    <x v="35"/>
    <x v="0"/>
    <s v="ALDI 75059 WICHITA FALLSTX"/>
    <n v="-12.09"/>
  </r>
  <r>
    <x v="35"/>
    <x v="0"/>
    <s v="ALDI 75010 PONCA CITY OK"/>
    <n v="-2.09"/>
  </r>
  <r>
    <x v="35"/>
    <x v="0"/>
    <s v="WAL-MART #0420 WICHITA FALLSTX"/>
    <n v="-43.65"/>
  </r>
  <r>
    <x v="36"/>
    <x v="0"/>
    <s v="DILLONS #0038 ARKANSAS CITYKS"/>
    <n v="-6.11"/>
  </r>
  <r>
    <x v="36"/>
    <x v="0"/>
    <s v="ALDI 75010 PONCA CITY OK"/>
    <n v="-1.46"/>
  </r>
  <r>
    <x v="37"/>
    <x v="0"/>
    <s v="DOLLAR GENERAL #23987 ARKANSAS CITYKS"/>
    <n v="-28.65"/>
  </r>
  <r>
    <x v="38"/>
    <x v="0"/>
    <s v="ALDI 75010 PONCA CITY OK"/>
    <n v="-4.67"/>
  </r>
  <r>
    <x v="38"/>
    <x v="0"/>
    <s v="ALDI 75010 PONCA CITY OK"/>
    <n v="-30.37"/>
  </r>
  <r>
    <x v="39"/>
    <x v="0"/>
    <s v="ALDI 75010 PONCA CITY OK"/>
    <n v="-2.93"/>
  </r>
  <r>
    <x v="40"/>
    <x v="2"/>
    <s v="MURPHY6607ATWALMART PONCA CITY OK"/>
    <n v="-21.15"/>
  </r>
  <r>
    <x v="41"/>
    <x v="0"/>
    <s v="ALDI 75010 PONCA CITY OK"/>
    <n v="-1.05"/>
  </r>
  <r>
    <x v="42"/>
    <x v="0"/>
    <s v="DILLONS #0038 ARKANSAS CITYKS"/>
    <n v="-12.82"/>
  </r>
  <r>
    <x v="43"/>
    <x v="0"/>
    <s v="ALDI 75010 PONCA CITY OK"/>
    <n v="-0.51"/>
  </r>
  <r>
    <x v="43"/>
    <x v="0"/>
    <s v="ALDI 75010 PONCA CITY OK"/>
    <n v="-2.09"/>
  </r>
  <r>
    <x v="44"/>
    <x v="0"/>
    <s v="ALDI 75010 PONCA CITY OK"/>
    <n v="-1.46"/>
  </r>
  <r>
    <x v="44"/>
    <x v="0"/>
    <s v="ALDI 75010 PONCA CITY OK"/>
    <n v="-2.0699999999999998"/>
  </r>
  <r>
    <x v="45"/>
    <x v="3"/>
    <s v="ONLINE PAYMENT THANK YOU"/>
    <n v="1000"/>
  </r>
  <r>
    <x v="45"/>
    <x v="1"/>
    <s v="2PAYCOM CENTER-LEVY CONC OKLAHOMA CITYOK"/>
    <n v="-44.94"/>
  </r>
  <r>
    <x v="46"/>
    <x v="0"/>
    <s v="ALDI 75010 PONCA CITY OK"/>
    <n v="-32.74"/>
  </r>
  <r>
    <x v="47"/>
    <x v="4"/>
    <s v="TM *KATY PERRY - THE L 800-653-8000 CA"/>
    <n v="-120.7"/>
  </r>
  <r>
    <x v="47"/>
    <x v="0"/>
    <s v="ALDI 75010 PONCA CITY OK"/>
    <n v="-11.18"/>
  </r>
  <r>
    <x v="47"/>
    <x v="0"/>
    <s v="ALDI 75010 PONCA CITY OK"/>
    <n v="-3.1"/>
  </r>
  <r>
    <x v="48"/>
    <x v="3"/>
    <s v="ONLINE PAYMENT THANK YOU"/>
    <n v="1000"/>
  </r>
  <r>
    <x v="48"/>
    <x v="0"/>
    <s v="DOLLAR GENERAL #23987 ARKANSAS CITYKS"/>
    <n v="-4.79"/>
  </r>
  <r>
    <x v="48"/>
    <x v="0"/>
    <s v="DILLONS #0038 ARKANSAS CITYKS"/>
    <n v="-3.19"/>
  </r>
  <r>
    <x v="49"/>
    <x v="1"/>
    <s v="AMAZON PRIME*NI2LS2MF2 Amzn.com/billWA"/>
    <n v="-8.11"/>
  </r>
  <r>
    <x v="49"/>
    <x v="2"/>
    <s v="MURPHY6607ATWALMART PONCA CITY OK"/>
    <n v="-18.39"/>
  </r>
  <r>
    <x v="49"/>
    <x v="0"/>
    <s v="ALDI 75010 PONCA CITY OK"/>
    <n v="-4.46"/>
  </r>
  <r>
    <x v="50"/>
    <x v="0"/>
    <s v="DOLLAR GENERAL #23987 ARKANSAS CITYKS"/>
    <n v="-3.01"/>
  </r>
  <r>
    <x v="50"/>
    <x v="0"/>
    <s v="DILLONS #0038 ARKANSAS CITYKS"/>
    <n v="-9.4700000000000006"/>
  </r>
  <r>
    <x v="51"/>
    <x v="6"/>
    <s v="SQ *BOTANICA, INC Wichita KS"/>
    <n v="-25.8"/>
  </r>
  <r>
    <x v="52"/>
    <x v="0"/>
    <s v="ALDI 75010 PONCA CITY OK"/>
    <n v="-8.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582469-59D7-4B24-91D9-D5BE33C2D18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4:F11" firstHeaderRow="1" firstDataRow="1" firstDataCol="1" rowPageCount="1" colPageCount="1"/>
  <pivotFields count="6">
    <pivotField numFmtId="14" showAll="0">
      <items count="54">
        <item x="6"/>
        <item x="5"/>
        <item x="4"/>
        <item x="3"/>
        <item x="2"/>
        <item x="1"/>
        <item x="0"/>
        <item x="7"/>
        <item x="8"/>
        <item x="9"/>
        <item x="10"/>
        <item x="11"/>
        <item x="12"/>
        <item x="13"/>
        <item x="14"/>
        <item x="15"/>
        <item x="16"/>
        <item x="17"/>
        <item x="18"/>
        <item x="19"/>
        <item x="20"/>
        <item x="21"/>
        <item x="22"/>
        <item x="23"/>
        <item x="24"/>
        <item x="25"/>
        <item x="26"/>
        <item x="52"/>
        <item x="51"/>
        <item x="50"/>
        <item x="49"/>
        <item x="48"/>
        <item x="47"/>
        <item x="46"/>
        <item x="45"/>
        <item x="44"/>
        <item x="43"/>
        <item x="42"/>
        <item x="41"/>
        <item x="40"/>
        <item x="39"/>
        <item x="38"/>
        <item x="37"/>
        <item x="36"/>
        <item x="35"/>
        <item x="34"/>
        <item x="33"/>
        <item x="32"/>
        <item x="31"/>
        <item x="30"/>
        <item x="29"/>
        <item x="28"/>
        <item x="27"/>
        <item t="default"/>
      </items>
    </pivotField>
    <pivotField axis="axisRow" showAll="0">
      <items count="9">
        <item x="4"/>
        <item x="6"/>
        <item x="0"/>
        <item x="3"/>
        <item x="1"/>
        <item x="2"/>
        <item m="1" x="7"/>
        <item x="5"/>
        <item t="default"/>
      </items>
    </pivotField>
    <pivotField showAll="0"/>
    <pivotField dataField="1" numFmtId="165"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Page"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7">
    <i>
      <x/>
    </i>
    <i>
      <x v="1"/>
    </i>
    <i>
      <x v="2"/>
    </i>
    <i>
      <x v="3"/>
    </i>
    <i>
      <x v="4"/>
    </i>
    <i>
      <x v="5"/>
    </i>
    <i t="grand">
      <x/>
    </i>
  </rowItems>
  <colItems count="1">
    <i/>
  </colItems>
  <pageFields count="1">
    <pageField fld="5" item="5" hier="-1"/>
  </pageFields>
  <dataFields count="1">
    <dataField name="Sum of Amount" fld="3" baseField="0" baseItem="0" numFmtId="165"/>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9" xr16:uid="{14D28772-72E5-4713-AD5F-E0F591264A27}" autoFormatId="16" applyNumberFormats="0" applyBorderFormats="0" applyFontFormats="0" applyPatternFormats="0" applyAlignmentFormats="0" applyWidthHeightFormats="0">
  <queryTableRefresh nextId="5">
    <queryTableFields count="4">
      <queryTableField id="1" name="Date" tableColumnId="1"/>
      <queryTableField id="2" name="Category"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3DECDA0-2DB0-4680-9B2B-BA43955C90DF}" sourceName="Category">
  <pivotTables>
    <pivotTable tabId="16" name="PivotTable1"/>
  </pivotTables>
  <data>
    <tabular pivotCacheId="698934717">
      <items count="8">
        <i x="4" s="1"/>
        <i x="6" s="1"/>
        <i x="0" s="1"/>
        <i x="3" s="1"/>
        <i x="1" s="1"/>
        <i x="2" s="1"/>
        <i x="7"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04A6AEE0-4039-4C0D-980F-E96B8FA95AA8}" sourceName="Months (Date)">
  <pivotTables>
    <pivotTable tabId="16" name="PivotTable1"/>
  </pivotTables>
  <data>
    <tabular pivotCacheId="698934717">
      <items count="14">
        <i x="3"/>
        <i x="4"/>
        <i x="5" s="1"/>
        <i x="1" nd="1"/>
        <i x="2" nd="1"/>
        <i x="6" nd="1"/>
        <i x="7" nd="1"/>
        <i x="8" nd="1"/>
        <i x="9" nd="1"/>
        <i x="10" nd="1"/>
        <i x="11" nd="1"/>
        <i x="12" nd="1"/>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6016286-C49C-442F-A999-E72BF2A55803}" cache="Slicer_Category" caption="Category" rowHeight="257175"/>
  <slicer name="Months (Date)" xr10:uid="{CC669E81-F9C5-4990-ADF7-E24BA4345FF7}" cache="Slicer_Months__Date" caption="Months (Date)" rowHeight="257175"/>
</slicers>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B72DE1-729D-44D0-804F-2DC86AF792EE}" name="January_Table" displayName="January_Table" ref="A1:D4" totalsRowShown="0">
  <autoFilter ref="A1:D4" xr:uid="{B1B72DE1-729D-44D0-804F-2DC86AF792EE}"/>
  <tableColumns count="4">
    <tableColumn id="1" xr3:uid="{6DDC3384-3FB0-407A-90D9-1EEA9AB24286}" name="Date"/>
    <tableColumn id="2" xr3:uid="{A1BD3575-E02D-48D0-BE19-BB61434E4B9B}" name="Category"/>
    <tableColumn id="3" xr3:uid="{68601B42-3D36-4AA0-A536-CC2AF5AD8EFF}" name="Description"/>
    <tableColumn id="4" xr3:uid="{F4C19E78-FC4F-4CB1-A6B8-C92F22ADF3B8}" name="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A873F2-4C73-45AB-B791-C824D397CB7A}" name="February_Table" displayName="February_Table" ref="A1:D5" totalsRowShown="0">
  <autoFilter ref="A1:D5" xr:uid="{FEA873F2-4C73-45AB-B791-C824D397CB7A}"/>
  <tableColumns count="4">
    <tableColumn id="1" xr3:uid="{755358D4-B89F-4227-BFB1-1BF4BD967F07}" name="Date"/>
    <tableColumn id="2" xr3:uid="{D698F47F-9414-44F9-9664-457535A1C78D}" name="Category"/>
    <tableColumn id="3" xr3:uid="{C82BCE11-942E-4890-B9AC-0409C566FD7A}" name="Description"/>
    <tableColumn id="4" xr3:uid="{235744F9-D8D9-4C68-B86D-F4702849F715}"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C2D3E6-ACAA-46F5-A4A2-A32D85FF0CCB}" name="March_Table" displayName="March_Table" ref="A1:D2" totalsRowShown="0">
  <autoFilter ref="A1:D2" xr:uid="{6CC2D3E6-ACAA-46F5-A4A2-A32D85FF0CCB}"/>
  <tableColumns count="4">
    <tableColumn id="1" xr3:uid="{4340B480-D145-48D8-A4E6-4B3D3DA87ECD}" name="Date"/>
    <tableColumn id="2" xr3:uid="{CBE2E853-0A13-4BD3-810C-04F2B6DE0DF8}" name="Category"/>
    <tableColumn id="3" xr3:uid="{CD7B7A76-5B47-4178-932E-A154F966A9F2}" name="Description"/>
    <tableColumn id="4" xr3:uid="{DECCCA9E-D06C-4080-9866-DC12111DD0DE}" name="Amount"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D42165-E9CB-4BBD-B71C-76992F1E2BED}" name="April_Table" displayName="April_Table" ref="A1:D2" totalsRowShown="0">
  <autoFilter ref="A1:D2" xr:uid="{DFD42165-E9CB-4BBD-B71C-76992F1E2BED}"/>
  <sortState xmlns:xlrd2="http://schemas.microsoft.com/office/spreadsheetml/2017/richdata2" ref="A2:D3">
    <sortCondition ref="A1:A1048541"/>
  </sortState>
  <tableColumns count="4">
    <tableColumn id="1" xr3:uid="{447DD9BC-5428-4BF7-8E18-1882B933BD43}" name="Date"/>
    <tableColumn id="2" xr3:uid="{B4AE7642-0C2C-4B7A-96C7-FD9F81B5FC76}" name="Category" dataDxfId="5"/>
    <tableColumn id="3" xr3:uid="{3761F3F9-7701-4FDF-AB26-A5121B12E8E7}" name="Description"/>
    <tableColumn id="4" xr3:uid="{52BCA233-8A94-451D-8231-1132AB3E9FF6}" name="Amount" dataDxfId="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C25C9E-5D52-4F45-9DA8-E75AA67E2465}" name="May_Table" displayName="May_Table" ref="A1:D2" totalsRowShown="0">
  <autoFilter ref="A1:D2" xr:uid="{F5C25C9E-5D52-4F45-9DA8-E75AA67E2465}"/>
  <tableColumns count="4">
    <tableColumn id="1" xr3:uid="{5877FDFC-5A28-4ABC-B969-133C68706055}" name="Date"/>
    <tableColumn id="2" xr3:uid="{AE37C28B-635E-4092-8CC2-AB1BF61DD75C}" name="Category"/>
    <tableColumn id="3" xr3:uid="{41C42081-6715-4F12-BC92-FB03B29EBED9}" name="Description"/>
    <tableColumn id="4" xr3:uid="{8F7EC7A8-9601-4A70-BDC8-17B83FB84C27}" name="Amount" dataDxf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EA67FA-39FD-42BC-B108-6EAB9266A3B4}" name="June_Table" displayName="June_Table" ref="A1:D9" totalsRowShown="0">
  <autoFilter ref="A1:D9" xr:uid="{34EA67FA-39FD-42BC-B108-6EAB9266A3B4}"/>
  <tableColumns count="4">
    <tableColumn id="1" xr3:uid="{0119054F-D259-4D7C-8780-DF0B57E643C6}" name="Date"/>
    <tableColumn id="2" xr3:uid="{2105D967-D529-4DAA-8E04-44F75A04B86D}" name="Category"/>
    <tableColumn id="3" xr3:uid="{17820247-5EDF-43FF-A2E4-0D617491571F}" name="Description"/>
    <tableColumn id="4" xr3:uid="{F92C3A1E-8A68-4179-87DF-655E26D1427F}" name="Amount" dataDxf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7D80A7-6BF2-4340-9617-825B8E06E5E3}" name="July_Table" displayName="July_Table" ref="A1:D6" totalsRowShown="0">
  <autoFilter ref="A1:D6" xr:uid="{8C7D80A7-6BF2-4340-9617-825B8E06E5E3}"/>
  <tableColumns count="4">
    <tableColumn id="1" xr3:uid="{BF21609B-8D94-4FDD-AA98-0D7E78164FD9}" name="Date"/>
    <tableColumn id="2" xr3:uid="{62A4380B-6AF1-4AF1-9B26-02EAE9621FCE}" name="Category"/>
    <tableColumn id="3" xr3:uid="{AD64A364-EC01-42C6-9672-6273F207A8C1}" name="Description"/>
    <tableColumn id="4" xr3:uid="{E2225E83-FB7B-4D4A-9723-02FDE16303FA}" name="Amou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0A9B62B-DC24-498F-B67B-48E83FD6172E}" name="August_Table" displayName="August_Table" ref="A1:D6" totalsRowShown="0">
  <autoFilter ref="A1:D6" xr:uid="{10A9B62B-DC24-498F-B67B-48E83FD6172E}"/>
  <tableColumns count="4">
    <tableColumn id="1" xr3:uid="{E2953995-205C-4120-A4BB-8F177655FD56}" name="Date"/>
    <tableColumn id="2" xr3:uid="{83048364-820E-4596-8DA4-09F221A7C2F7}" name="Category"/>
    <tableColumn id="3" xr3:uid="{955EBE24-5490-4E93-AEAF-DB863C317138}" name="Description"/>
    <tableColumn id="4" xr3:uid="{5E183556-B4C4-495B-A82A-2B2F089B213E}" name="Amou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6BD0F7-C282-4F97-8282-CA08CBC16D4F}" name="September_Table" displayName="September_Table" ref="A1:D7" totalsRowShown="0">
  <autoFilter ref="A1:D7" xr:uid="{206BD0F7-C282-4F97-8282-CA08CBC16D4F}"/>
  <tableColumns count="4">
    <tableColumn id="1" xr3:uid="{BA63C47A-8E0B-430B-BC5D-F49AAC2A200D}" name="Date"/>
    <tableColumn id="2" xr3:uid="{7DE63CF3-7E00-4B73-8609-AF10B6684030}" name="Category"/>
    <tableColumn id="3" xr3:uid="{1280EB8D-4791-46F6-8FE8-56E625BD67C0}" name="Description"/>
    <tableColumn id="4" xr3:uid="{E8A79C27-C045-4DAF-96EC-ED624E6211A4}" name="Am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3C17041-722E-4E1A-870B-2C03EDBB8CEC}" name="October_Table" displayName="October_Table" ref="A1:D5" totalsRowShown="0">
  <autoFilter ref="A1:D5" xr:uid="{03C17041-722E-4E1A-870B-2C03EDBB8CEC}"/>
  <tableColumns count="4">
    <tableColumn id="1" xr3:uid="{2C0B2917-1FE2-4100-BB0F-E9C18D0820CE}" name="Date"/>
    <tableColumn id="2" xr3:uid="{A519B1ED-F6DB-4469-B542-89B205918D67}" name="Category"/>
    <tableColumn id="3" xr3:uid="{18581F41-9584-42D2-8032-856CBCA7DEEA}" name="Description"/>
    <tableColumn id="4" xr3:uid="{70E33FA3-46D1-4978-9485-F19AA2DFC370}" name="Amoun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BB92E63-69C0-4375-A2CF-98A999B864FC}" name="November_Table" displayName="November_Table" ref="A1:D6" totalsRowShown="0">
  <autoFilter ref="A1:D6" xr:uid="{6BB92E63-69C0-4375-A2CF-98A999B864FC}"/>
  <tableColumns count="4">
    <tableColumn id="1" xr3:uid="{FA7EAFCE-9D0A-426E-9704-AE4CD3F1EC5D}" name="Date"/>
    <tableColumn id="2" xr3:uid="{7B660EE0-FB6B-4E24-871E-FEE8C4B133D3}" name="Category"/>
    <tableColumn id="3" xr3:uid="{4EB3ADB3-AB32-4895-93AF-49C815EB1897}" name="Description"/>
    <tableColumn id="4" xr3:uid="{4266B0B5-3216-4861-836D-3F0B29FBD1B0}" name="Amoun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EA5C425-D10E-4F27-AFD8-933CAD29C41A}" name="December_Table" displayName="December_Table" ref="A1:D7" totalsRowShown="0">
  <autoFilter ref="A1:D7" xr:uid="{CEA5C425-D10E-4F27-AFD8-933CAD29C41A}"/>
  <tableColumns count="4">
    <tableColumn id="1" xr3:uid="{7A66D3AF-5A6D-4647-BF6B-84BDD7C1E135}" name="Date"/>
    <tableColumn id="2" xr3:uid="{9EC01524-852F-4CD6-9902-FBFF8696F6E4}" name="Category"/>
    <tableColumn id="3" xr3:uid="{DBA12CD4-0C19-465F-A012-F9CAA9CA3841}" name="Description"/>
    <tableColumn id="4" xr3:uid="{F5C9BC20-E6CE-4FB4-BD75-B123A27B2197}" name="Amou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C4A23A7-6F36-49D3-947A-CA462AEB638D}" name="Table14" displayName="Table14" ref="C1:D29" totalsRowShown="0">
  <autoFilter ref="C1:D29" xr:uid="{DC4A23A7-6F36-49D3-947A-CA462AEB638D}"/>
  <tableColumns count="2">
    <tableColumn id="1" xr3:uid="{9ADF66D3-59E1-45C8-A2E4-64FCC4E759C6}" name="Keyword"/>
    <tableColumn id="2" xr3:uid="{4B951528-3D95-4FB8-9708-3B98964C8B48}" name="Category"/>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BE567E-29D3-4BF3-9BD1-B4CDD3B65B29}" name="master_table" displayName="master_table" ref="A1:D113" tableType="queryTable" totalsRowShown="0">
  <autoFilter ref="A1:D113" xr:uid="{67BE567E-29D3-4BF3-9BD1-B4CDD3B65B29}"/>
  <tableColumns count="4">
    <tableColumn id="1" xr3:uid="{6C734109-8976-4151-9C86-57E120A0ED98}" uniqueName="1" name="Date" queryTableFieldId="1" dataDxfId="1"/>
    <tableColumn id="2" xr3:uid="{227529F0-2848-49B5-B7C7-A4ED8510EAD5}" uniqueName="2" name="Category" queryTableFieldId="2"/>
    <tableColumn id="3" xr3:uid="{CB2B12D8-2473-4CEB-9ADD-2EBC1EB9DF24}" uniqueName="3" name="Description" queryTableFieldId="3"/>
    <tableColumn id="4" xr3:uid="{EBB700FA-AD11-467E-AF31-B2F16754ABCB}" uniqueName="4" name="Amount" queryTableFieldId="4"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3B39A-E042-4DF4-85B0-3B97D165CA29}">
  <sheetPr codeName="Sheet15"/>
  <dimension ref="A2:F11"/>
  <sheetViews>
    <sheetView zoomScale="115" zoomScaleNormal="115" workbookViewId="0">
      <selection activeCell="E3" sqref="E3"/>
    </sheetView>
  </sheetViews>
  <sheetFormatPr defaultColWidth="9" defaultRowHeight="15" x14ac:dyDescent="0.25"/>
  <cols>
    <col min="5" max="5" width="14.28515625" bestFit="1" customWidth="1"/>
    <col min="6" max="6" width="14.85546875" bestFit="1" customWidth="1"/>
    <col min="7" max="7" width="13.7109375" bestFit="1" customWidth="1"/>
    <col min="8" max="8" width="15.85546875" bestFit="1" customWidth="1"/>
    <col min="9" max="9" width="25.7109375" bestFit="1" customWidth="1"/>
    <col min="10" max="10" width="47.85546875" bestFit="1" customWidth="1"/>
    <col min="11" max="11" width="39.42578125" bestFit="1" customWidth="1"/>
    <col min="12" max="12" width="43.140625" bestFit="1" customWidth="1"/>
    <col min="13" max="13" width="38.28515625" bestFit="1" customWidth="1"/>
    <col min="14" max="14" width="41.5703125" bestFit="1" customWidth="1"/>
    <col min="15" max="15" width="7.140625" bestFit="1" customWidth="1"/>
    <col min="16" max="16" width="5.5703125" bestFit="1" customWidth="1"/>
    <col min="17" max="17" width="35" bestFit="1" customWidth="1"/>
    <col min="18" max="18" width="39.5703125" bestFit="1" customWidth="1"/>
    <col min="19" max="19" width="44.5703125" bestFit="1" customWidth="1"/>
    <col min="20" max="20" width="30.28515625" bestFit="1" customWidth="1"/>
    <col min="21" max="21" width="39.5703125" bestFit="1" customWidth="1"/>
    <col min="22" max="22" width="28.42578125" bestFit="1" customWidth="1"/>
    <col min="23" max="23" width="9.42578125" bestFit="1" customWidth="1"/>
    <col min="24" max="24" width="34.7109375" bestFit="1" customWidth="1"/>
    <col min="25" max="26" width="36.140625" bestFit="1" customWidth="1"/>
    <col min="27" max="27" width="31.85546875" bestFit="1" customWidth="1"/>
    <col min="28" max="28" width="36.42578125" bestFit="1" customWidth="1"/>
    <col min="29" max="29" width="35.42578125" bestFit="1" customWidth="1"/>
    <col min="30" max="30" width="39.28515625" bestFit="1" customWidth="1"/>
    <col min="31" max="31" width="31.42578125" bestFit="1" customWidth="1"/>
    <col min="32" max="32" width="44.140625" bestFit="1" customWidth="1"/>
    <col min="33" max="33" width="38.28515625" bestFit="1" customWidth="1"/>
    <col min="34" max="34" width="11.28515625" bestFit="1" customWidth="1"/>
  </cols>
  <sheetData>
    <row r="2" spans="1:6" x14ac:dyDescent="0.25">
      <c r="A2" s="1"/>
      <c r="D2" s="2"/>
      <c r="E2" s="3" t="s">
        <v>40</v>
      </c>
      <c r="F2" t="s">
        <v>61</v>
      </c>
    </row>
    <row r="3" spans="1:6" x14ac:dyDescent="0.25">
      <c r="A3" s="1"/>
      <c r="D3" s="2"/>
    </row>
    <row r="4" spans="1:6" x14ac:dyDescent="0.25">
      <c r="E4" s="3" t="s">
        <v>12</v>
      </c>
      <c r="F4" t="s">
        <v>14</v>
      </c>
    </row>
    <row r="5" spans="1:6" x14ac:dyDescent="0.25">
      <c r="E5" s="4" t="s">
        <v>9</v>
      </c>
      <c r="F5" s="7">
        <v>-249.32999999999998</v>
      </c>
    </row>
    <row r="6" spans="1:6" x14ac:dyDescent="0.25">
      <c r="E6" s="4" t="s">
        <v>60</v>
      </c>
      <c r="F6" s="7">
        <v>-136.83000000000001</v>
      </c>
    </row>
    <row r="7" spans="1:6" x14ac:dyDescent="0.25">
      <c r="E7" s="4" t="s">
        <v>25</v>
      </c>
      <c r="F7" s="7">
        <v>-404.75</v>
      </c>
    </row>
    <row r="8" spans="1:6" x14ac:dyDescent="0.25">
      <c r="E8" s="4" t="s">
        <v>10</v>
      </c>
      <c r="F8" s="7">
        <v>2052</v>
      </c>
    </row>
    <row r="9" spans="1:6" x14ac:dyDescent="0.25">
      <c r="E9" s="4" t="s">
        <v>8</v>
      </c>
      <c r="F9" s="7">
        <v>-125.55</v>
      </c>
    </row>
    <row r="10" spans="1:6" x14ac:dyDescent="0.25">
      <c r="E10" s="4" t="s">
        <v>7</v>
      </c>
      <c r="F10" s="7">
        <v>-82.15</v>
      </c>
    </row>
    <row r="11" spans="1:6" x14ac:dyDescent="0.25">
      <c r="E11" s="4" t="s">
        <v>13</v>
      </c>
      <c r="F11" s="7">
        <v>1053.3900000000001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871B3-387A-4EC9-A928-934588DF0F05}">
  <sheetPr codeName="Sheet3"/>
  <dimension ref="A1:D2"/>
  <sheetViews>
    <sheetView workbookViewId="0">
      <selection activeCell="A4" sqref="A4"/>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A2" s="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A2AFF-48CA-4998-9475-04DA50B67EC5}">
  <sheetPr codeName="Sheet4"/>
  <dimension ref="A1:D2"/>
  <sheetViews>
    <sheetView workbookViewId="0">
      <selection activeCell="A2" sqref="A2:D2"/>
    </sheetView>
  </sheetViews>
  <sheetFormatPr defaultRowHeight="15" x14ac:dyDescent="0.25"/>
  <cols>
    <col min="1" max="3" width="11.28515625" customWidth="1"/>
    <col min="4" max="4" width="11.28515625" style="2" customWidth="1"/>
    <col min="10" max="10" width="7.5703125" bestFit="1" customWidth="1"/>
    <col min="11" max="11" width="11.42578125" bestFit="1" customWidth="1"/>
    <col min="12" max="12" width="13.85546875" bestFit="1" customWidth="1"/>
    <col min="13" max="13" width="10.28515625" bestFit="1" customWidth="1"/>
  </cols>
  <sheetData>
    <row r="1" spans="1:4" x14ac:dyDescent="0.25">
      <c r="A1" t="s">
        <v>0</v>
      </c>
      <c r="B1" t="s">
        <v>1</v>
      </c>
      <c r="C1" t="s">
        <v>2</v>
      </c>
      <c r="D1" t="s">
        <v>3</v>
      </c>
    </row>
    <row r="2" spans="1:4" x14ac:dyDescent="0.25">
      <c r="A2" s="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3E60B-EA54-4AB3-9485-E6A27718820A}">
  <sheetPr codeName="Sheet5"/>
  <dimension ref="A1:D2"/>
  <sheetViews>
    <sheetView workbookViewId="0">
      <selection activeCell="A3" sqref="A3:XFD22"/>
    </sheetView>
  </sheetViews>
  <sheetFormatPr defaultRowHeight="15" x14ac:dyDescent="0.25"/>
  <cols>
    <col min="1" max="1" width="9.42578125" bestFit="1" customWidth="1"/>
    <col min="2" max="2" width="17" customWidth="1"/>
    <col min="3" max="3" width="46.7109375" bestFit="1" customWidth="1"/>
    <col min="4" max="4" width="13.28515625" style="6" customWidth="1"/>
  </cols>
  <sheetData>
    <row r="1" spans="1:4" x14ac:dyDescent="0.25">
      <c r="A1" t="s">
        <v>0</v>
      </c>
      <c r="B1" t="s">
        <v>1</v>
      </c>
      <c r="C1" t="s">
        <v>2</v>
      </c>
      <c r="D1" s="6" t="s">
        <v>3</v>
      </c>
    </row>
    <row r="2" spans="1:4" x14ac:dyDescent="0.25">
      <c r="A2" s="1"/>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1A43E-FA01-4A54-9279-16355B9761DF}">
  <sheetPr codeName="Sheet6"/>
  <dimension ref="A1:D2"/>
  <sheetViews>
    <sheetView workbookViewId="0">
      <selection activeCell="D2" sqref="A2:D2"/>
    </sheetView>
  </sheetViews>
  <sheetFormatPr defaultRowHeight="15" x14ac:dyDescent="0.25"/>
  <cols>
    <col min="1" max="1" width="9.42578125" bestFit="1" customWidth="1"/>
    <col min="2" max="2" width="18" customWidth="1"/>
    <col min="3" max="3" width="32.42578125" customWidth="1"/>
    <col min="4" max="4" width="42.5703125" style="7" bestFit="1" customWidth="1"/>
  </cols>
  <sheetData>
    <row r="1" spans="1:4" x14ac:dyDescent="0.25">
      <c r="A1" t="s">
        <v>0</v>
      </c>
      <c r="B1" t="s">
        <v>1</v>
      </c>
      <c r="C1" t="s">
        <v>2</v>
      </c>
      <c r="D1" s="7" t="s">
        <v>3</v>
      </c>
    </row>
    <row r="2" spans="1:4" x14ac:dyDescent="0.25">
      <c r="A2"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1E66B-3A8B-410F-880A-BD905DF14333}">
  <sheetPr codeName="Sheet7"/>
  <dimension ref="A1:D2"/>
  <sheetViews>
    <sheetView workbookViewId="0">
      <selection activeCell="A2" sqref="A2:D2"/>
    </sheetView>
  </sheetViews>
  <sheetFormatPr defaultRowHeight="15" x14ac:dyDescent="0.25"/>
  <cols>
    <col min="1" max="1" width="11.28515625" customWidth="1"/>
    <col min="2" max="2" width="14.28515625" bestFit="1" customWidth="1"/>
    <col min="3" max="3" width="40.42578125" customWidth="1"/>
    <col min="4" max="4" width="11.28515625" style="7" customWidth="1"/>
  </cols>
  <sheetData>
    <row r="1" spans="1:4" x14ac:dyDescent="0.25">
      <c r="A1" t="s">
        <v>0</v>
      </c>
      <c r="B1" t="s">
        <v>1</v>
      </c>
      <c r="C1" t="s">
        <v>2</v>
      </c>
      <c r="D1" s="7" t="s">
        <v>3</v>
      </c>
    </row>
    <row r="2" spans="1:4" x14ac:dyDescent="0.25">
      <c r="A2" s="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6B558-9243-4EB8-A573-EDA0CFF69BA4}">
  <sheetPr codeName="Sheet8"/>
  <dimension ref="A1:F10"/>
  <sheetViews>
    <sheetView workbookViewId="0">
      <selection activeCell="H15" sqref="H15"/>
    </sheetView>
  </sheetViews>
  <sheetFormatPr defaultRowHeight="15" x14ac:dyDescent="0.25"/>
  <cols>
    <col min="1" max="2" width="9.42578125" bestFit="1" customWidth="1"/>
    <col min="3" max="3" width="27.5703125" bestFit="1" customWidth="1"/>
    <col min="4" max="4" width="8.7109375" style="6" bestFit="1" customWidth="1"/>
    <col min="6" max="6" width="14.5703125" customWidth="1"/>
  </cols>
  <sheetData>
    <row r="1" spans="1:6" x14ac:dyDescent="0.25">
      <c r="A1" t="s">
        <v>0</v>
      </c>
      <c r="B1" t="s">
        <v>1</v>
      </c>
      <c r="C1" t="s">
        <v>2</v>
      </c>
      <c r="D1" s="6" t="s">
        <v>3</v>
      </c>
    </row>
    <row r="2" spans="1:6" x14ac:dyDescent="0.25">
      <c r="A2" s="1"/>
      <c r="F2" s="5"/>
    </row>
    <row r="3" spans="1:6" x14ac:dyDescent="0.25">
      <c r="A3" s="1"/>
    </row>
    <row r="4" spans="1:6" x14ac:dyDescent="0.25">
      <c r="A4" s="1"/>
    </row>
    <row r="5" spans="1:6" x14ac:dyDescent="0.25">
      <c r="A5" s="1"/>
    </row>
    <row r="6" spans="1:6" x14ac:dyDescent="0.25">
      <c r="A6" s="1"/>
    </row>
    <row r="7" spans="1:6" x14ac:dyDescent="0.25">
      <c r="A7" s="1"/>
    </row>
    <row r="8" spans="1:6" x14ac:dyDescent="0.25">
      <c r="A8" s="1"/>
    </row>
    <row r="9" spans="1:6" x14ac:dyDescent="0.25">
      <c r="A9" s="1"/>
    </row>
    <row r="10" spans="1:6" x14ac:dyDescent="0.25">
      <c r="A10" s="1"/>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19F88-3982-45C8-9E5A-601A64440954}">
  <sheetPr codeName="Sheet9"/>
  <dimension ref="A1:D14"/>
  <sheetViews>
    <sheetView workbookViewId="0">
      <selection activeCell="B8" sqref="B8"/>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5636-85F0-4F26-A686-EE18150AF9CD}">
  <sheetPr codeName="Sheet10"/>
  <dimension ref="A1:D17"/>
  <sheetViews>
    <sheetView workbookViewId="0">
      <selection activeCell="B5" sqref="B5"/>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row r="15" spans="1:4" x14ac:dyDescent="0.25">
      <c r="D15"/>
    </row>
    <row r="16" spans="1:4" x14ac:dyDescent="0.25">
      <c r="D16"/>
    </row>
    <row r="17" spans="4:4" x14ac:dyDescent="0.25">
      <c r="D1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02804-006A-4016-9D3B-C3385CE31E1D}">
  <sheetPr codeName="Sheet11"/>
  <dimension ref="A1:D16"/>
  <sheetViews>
    <sheetView workbookViewId="0">
      <selection activeCell="A2" sqref="A2"/>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row r="15" spans="1:4" x14ac:dyDescent="0.25">
      <c r="D15"/>
    </row>
    <row r="16" spans="1:4" x14ac:dyDescent="0.25">
      <c r="D16"/>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49985-A2F0-412F-BFF2-B7B7F35BC06D}">
  <sheetPr codeName="Sheet12"/>
  <dimension ref="A1:D16"/>
  <sheetViews>
    <sheetView workbookViewId="0">
      <selection sqref="A1:D5"/>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row r="15" spans="1:4" x14ac:dyDescent="0.25">
      <c r="D15"/>
    </row>
    <row r="16" spans="1:4" x14ac:dyDescent="0.25">
      <c r="D1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B7D33-3CF4-4FB5-B606-A0FCB4CA434A}">
  <sheetPr codeName="Sheet13"/>
  <dimension ref="A1:D14"/>
  <sheetViews>
    <sheetView workbookViewId="0">
      <selection activeCell="A2" sqref="A2"/>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0E043-59C1-429D-BEA7-A346D8CD7BED}">
  <sheetPr codeName="Sheet14"/>
  <dimension ref="A1:D18"/>
  <sheetViews>
    <sheetView workbookViewId="0">
      <selection activeCell="A2" sqref="A2"/>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row r="15" spans="1:4" x14ac:dyDescent="0.25">
      <c r="D15"/>
    </row>
    <row r="16" spans="1:4" x14ac:dyDescent="0.25">
      <c r="D16"/>
    </row>
    <row r="17" spans="4:4" x14ac:dyDescent="0.25">
      <c r="D17"/>
    </row>
    <row r="18" spans="4:4" x14ac:dyDescent="0.25">
      <c r="D18"/>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6E53D-F344-4A70-9B64-4E46360E9F18}">
  <sheetPr codeName="Sheet2"/>
  <dimension ref="A1:D8"/>
  <sheetViews>
    <sheetView tabSelected="1" workbookViewId="0">
      <selection activeCell="S16" sqref="S16"/>
    </sheetView>
  </sheetViews>
  <sheetFormatPr defaultRowHeight="15" x14ac:dyDescent="0.25"/>
  <cols>
    <col min="1" max="1" width="14.28515625" bestFit="1" customWidth="1"/>
    <col min="3" max="3" width="19.5703125" customWidth="1"/>
    <col min="4" max="4" width="15.7109375" customWidth="1"/>
  </cols>
  <sheetData>
    <row r="1" spans="1:4" x14ac:dyDescent="0.25">
      <c r="A1" t="s">
        <v>9</v>
      </c>
      <c r="C1" t="s">
        <v>24</v>
      </c>
      <c r="D1" t="s">
        <v>1</v>
      </c>
    </row>
    <row r="2" spans="1:4" x14ac:dyDescent="0.25">
      <c r="A2" t="s">
        <v>11</v>
      </c>
    </row>
    <row r="3" spans="1:4" x14ac:dyDescent="0.25">
      <c r="A3" t="s">
        <v>10</v>
      </c>
    </row>
    <row r="4" spans="1:4" x14ac:dyDescent="0.25">
      <c r="A4" t="s">
        <v>6</v>
      </c>
    </row>
    <row r="5" spans="1:4" x14ac:dyDescent="0.25">
      <c r="A5" t="s">
        <v>4</v>
      </c>
    </row>
    <row r="6" spans="1:4" x14ac:dyDescent="0.25">
      <c r="A6" t="s">
        <v>7</v>
      </c>
    </row>
    <row r="7" spans="1:4" x14ac:dyDescent="0.25">
      <c r="A7" t="s">
        <v>5</v>
      </c>
    </row>
    <row r="8" spans="1:4" x14ac:dyDescent="0.25">
      <c r="A8" t="s">
        <v>8</v>
      </c>
    </row>
  </sheetData>
  <sortState xmlns:xlrd2="http://schemas.microsoft.com/office/spreadsheetml/2017/richdata2" ref="A1:A7">
    <sortCondition ref="A1:A7"/>
  </sortState>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EAC15-18BE-4A6E-8FF8-C1295A2F1DFA}">
  <sheetPr codeName="Sheet1"/>
  <dimension ref="A1:D113"/>
  <sheetViews>
    <sheetView topLeftCell="A2" workbookViewId="0">
      <selection activeCell="C10" sqref="C10"/>
    </sheetView>
  </sheetViews>
  <sheetFormatPr defaultRowHeight="15" x14ac:dyDescent="0.25"/>
  <cols>
    <col min="1" max="1" width="9.42578125" style="1" bestFit="1" customWidth="1"/>
    <col min="2" max="2" width="14.28515625" bestFit="1" customWidth="1"/>
    <col min="3" max="3" width="46.7109375" bestFit="1" customWidth="1"/>
    <col min="4" max="4" width="10.28515625" style="7" bestFit="1" customWidth="1"/>
  </cols>
  <sheetData>
    <row r="1" spans="1:4" x14ac:dyDescent="0.25">
      <c r="A1" s="1" t="s">
        <v>0</v>
      </c>
      <c r="B1" t="s">
        <v>1</v>
      </c>
      <c r="C1" t="s">
        <v>2</v>
      </c>
      <c r="D1" s="7" t="s">
        <v>3</v>
      </c>
    </row>
    <row r="2" spans="1:4" x14ac:dyDescent="0.25">
      <c r="A2" s="1">
        <v>45746</v>
      </c>
      <c r="B2" t="s">
        <v>25</v>
      </c>
      <c r="C2" t="s">
        <v>15</v>
      </c>
      <c r="D2" s="7">
        <v>-2.62</v>
      </c>
    </row>
    <row r="3" spans="1:4" x14ac:dyDescent="0.25">
      <c r="A3" s="1">
        <v>45744</v>
      </c>
      <c r="B3" t="s">
        <v>25</v>
      </c>
      <c r="C3" t="s">
        <v>15</v>
      </c>
      <c r="D3" s="7">
        <v>-2.67</v>
      </c>
    </row>
    <row r="4" spans="1:4" x14ac:dyDescent="0.25">
      <c r="A4" s="1">
        <v>45744</v>
      </c>
      <c r="B4" t="s">
        <v>25</v>
      </c>
      <c r="C4" t="s">
        <v>15</v>
      </c>
      <c r="D4" s="7">
        <v>-1.88</v>
      </c>
    </row>
    <row r="5" spans="1:4" x14ac:dyDescent="0.25">
      <c r="A5" s="1">
        <v>45744</v>
      </c>
      <c r="B5" t="s">
        <v>25</v>
      </c>
      <c r="C5" t="s">
        <v>15</v>
      </c>
      <c r="D5" s="7">
        <v>-1.1499999999999999</v>
      </c>
    </row>
    <row r="6" spans="1:4" x14ac:dyDescent="0.25">
      <c r="A6" s="1">
        <v>45744</v>
      </c>
      <c r="B6" t="s">
        <v>8</v>
      </c>
      <c r="C6" t="s">
        <v>17</v>
      </c>
      <c r="D6" s="7">
        <v>-168.12</v>
      </c>
    </row>
    <row r="7" spans="1:4" x14ac:dyDescent="0.25">
      <c r="A7" s="1">
        <v>45743</v>
      </c>
      <c r="B7" t="s">
        <v>25</v>
      </c>
      <c r="C7" t="s">
        <v>15</v>
      </c>
      <c r="D7" s="7">
        <v>-49.64</v>
      </c>
    </row>
    <row r="8" spans="1:4" x14ac:dyDescent="0.25">
      <c r="A8" s="1">
        <v>45742</v>
      </c>
      <c r="B8" t="s">
        <v>25</v>
      </c>
      <c r="C8" t="s">
        <v>15</v>
      </c>
      <c r="D8" s="7">
        <v>-2.2999999999999998</v>
      </c>
    </row>
    <row r="9" spans="1:4" x14ac:dyDescent="0.25">
      <c r="A9" s="1">
        <v>45742</v>
      </c>
      <c r="B9" t="s">
        <v>25</v>
      </c>
      <c r="C9" t="s">
        <v>15</v>
      </c>
      <c r="D9" s="7">
        <v>-1.97</v>
      </c>
    </row>
    <row r="10" spans="1:4" x14ac:dyDescent="0.25">
      <c r="A10" s="1">
        <v>45742</v>
      </c>
      <c r="B10" t="s">
        <v>25</v>
      </c>
      <c r="C10" t="s">
        <v>18</v>
      </c>
      <c r="D10" s="7">
        <v>-83.09</v>
      </c>
    </row>
    <row r="11" spans="1:4" x14ac:dyDescent="0.25">
      <c r="A11" s="1">
        <v>45740</v>
      </c>
      <c r="B11" t="s">
        <v>7</v>
      </c>
      <c r="C11" t="s">
        <v>19</v>
      </c>
      <c r="D11" s="7">
        <v>-19.350000000000001</v>
      </c>
    </row>
    <row r="12" spans="1:4" x14ac:dyDescent="0.25">
      <c r="A12" s="1">
        <v>45740</v>
      </c>
      <c r="B12" t="s">
        <v>25</v>
      </c>
      <c r="C12" t="s">
        <v>15</v>
      </c>
      <c r="D12" s="7">
        <v>-28.67</v>
      </c>
    </row>
    <row r="13" spans="1:4" x14ac:dyDescent="0.25">
      <c r="A13" s="1">
        <v>45740</v>
      </c>
      <c r="B13" t="s">
        <v>25</v>
      </c>
      <c r="C13" t="s">
        <v>15</v>
      </c>
      <c r="D13" s="7">
        <v>-6.25</v>
      </c>
    </row>
    <row r="14" spans="1:4" x14ac:dyDescent="0.25">
      <c r="A14" s="1">
        <v>45739</v>
      </c>
      <c r="B14" t="s">
        <v>10</v>
      </c>
      <c r="C14" t="s">
        <v>20</v>
      </c>
      <c r="D14" s="7">
        <v>50</v>
      </c>
    </row>
    <row r="15" spans="1:4" x14ac:dyDescent="0.25">
      <c r="A15" s="1">
        <v>45739</v>
      </c>
      <c r="B15" t="s">
        <v>25</v>
      </c>
      <c r="C15" t="s">
        <v>21</v>
      </c>
      <c r="D15" s="7">
        <v>-2.2999999999999998</v>
      </c>
    </row>
    <row r="16" spans="1:4" x14ac:dyDescent="0.25">
      <c r="A16" s="1">
        <v>45739</v>
      </c>
      <c r="B16" t="s">
        <v>25</v>
      </c>
      <c r="C16" t="s">
        <v>15</v>
      </c>
      <c r="D16" s="7">
        <v>-10.75</v>
      </c>
    </row>
    <row r="17" spans="1:4" x14ac:dyDescent="0.25">
      <c r="A17" s="1">
        <v>45739</v>
      </c>
      <c r="B17" t="s">
        <v>25</v>
      </c>
      <c r="C17" t="s">
        <v>15</v>
      </c>
      <c r="D17" s="7">
        <v>-2.41</v>
      </c>
    </row>
    <row r="18" spans="1:4" x14ac:dyDescent="0.25">
      <c r="A18" s="1">
        <v>45737</v>
      </c>
      <c r="B18" t="s">
        <v>25</v>
      </c>
      <c r="C18" t="s">
        <v>22</v>
      </c>
      <c r="D18" s="7">
        <v>-6.92</v>
      </c>
    </row>
    <row r="19" spans="1:4" x14ac:dyDescent="0.25">
      <c r="A19" s="1">
        <v>45737</v>
      </c>
      <c r="B19" t="s">
        <v>25</v>
      </c>
      <c r="C19" t="s">
        <v>15</v>
      </c>
      <c r="D19" s="7">
        <v>-5.71</v>
      </c>
    </row>
    <row r="20" spans="1:4" x14ac:dyDescent="0.25">
      <c r="A20" s="1">
        <v>45737</v>
      </c>
      <c r="B20" t="s">
        <v>25</v>
      </c>
      <c r="C20" t="s">
        <v>15</v>
      </c>
      <c r="D20" s="7">
        <v>-3.46</v>
      </c>
    </row>
    <row r="21" spans="1:4" x14ac:dyDescent="0.25">
      <c r="A21" s="1">
        <v>45737</v>
      </c>
      <c r="B21" t="s">
        <v>8</v>
      </c>
      <c r="C21" t="s">
        <v>23</v>
      </c>
      <c r="D21" s="7">
        <v>25</v>
      </c>
    </row>
    <row r="22" spans="1:4" x14ac:dyDescent="0.25">
      <c r="A22" s="1">
        <v>45737</v>
      </c>
      <c r="B22" t="s">
        <v>8</v>
      </c>
      <c r="C22" t="s">
        <v>23</v>
      </c>
      <c r="D22" s="7">
        <v>25</v>
      </c>
    </row>
    <row r="23" spans="1:4" x14ac:dyDescent="0.25">
      <c r="A23" s="1">
        <v>45748</v>
      </c>
      <c r="B23" t="s">
        <v>25</v>
      </c>
      <c r="C23" t="s">
        <v>15</v>
      </c>
      <c r="D23" s="7">
        <v>-68.09</v>
      </c>
    </row>
    <row r="24" spans="1:4" x14ac:dyDescent="0.25">
      <c r="A24" s="1">
        <v>45749</v>
      </c>
      <c r="B24" t="s">
        <v>9</v>
      </c>
      <c r="C24" t="s">
        <v>39</v>
      </c>
      <c r="D24" s="7">
        <v>-51.18</v>
      </c>
    </row>
    <row r="25" spans="1:4" x14ac:dyDescent="0.25">
      <c r="A25" s="1">
        <v>45750</v>
      </c>
      <c r="B25" t="s">
        <v>59</v>
      </c>
      <c r="C25" t="s">
        <v>38</v>
      </c>
      <c r="D25" s="7">
        <v>-28.88</v>
      </c>
    </row>
    <row r="26" spans="1:4" x14ac:dyDescent="0.25">
      <c r="A26" s="1">
        <v>45751</v>
      </c>
      <c r="B26" t="s">
        <v>25</v>
      </c>
      <c r="C26" t="s">
        <v>15</v>
      </c>
      <c r="D26" s="7">
        <v>-1.36</v>
      </c>
    </row>
    <row r="27" spans="1:4" x14ac:dyDescent="0.25">
      <c r="A27" s="1">
        <v>45751</v>
      </c>
      <c r="B27" t="s">
        <v>7</v>
      </c>
      <c r="C27" t="s">
        <v>27</v>
      </c>
      <c r="D27" s="7">
        <v>-16</v>
      </c>
    </row>
    <row r="28" spans="1:4" x14ac:dyDescent="0.25">
      <c r="A28" s="1">
        <v>45752</v>
      </c>
      <c r="B28" t="s">
        <v>8</v>
      </c>
      <c r="C28" t="s">
        <v>37</v>
      </c>
      <c r="D28" s="7">
        <v>-8.11</v>
      </c>
    </row>
    <row r="29" spans="1:4" x14ac:dyDescent="0.25">
      <c r="A29" s="1">
        <v>45753</v>
      </c>
      <c r="B29" t="s">
        <v>25</v>
      </c>
      <c r="C29" t="s">
        <v>15</v>
      </c>
      <c r="D29" s="7">
        <v>-26.89</v>
      </c>
    </row>
    <row r="30" spans="1:4" x14ac:dyDescent="0.25">
      <c r="A30" s="1">
        <v>45753</v>
      </c>
      <c r="B30" t="s">
        <v>25</v>
      </c>
      <c r="C30" t="s">
        <v>15</v>
      </c>
      <c r="D30" s="7">
        <v>-5.24</v>
      </c>
    </row>
    <row r="31" spans="1:4" x14ac:dyDescent="0.25">
      <c r="A31" s="1">
        <v>45754</v>
      </c>
      <c r="B31" t="s">
        <v>25</v>
      </c>
      <c r="C31" t="s">
        <v>15</v>
      </c>
      <c r="D31" s="7">
        <v>-6.27</v>
      </c>
    </row>
    <row r="32" spans="1:4" x14ac:dyDescent="0.25">
      <c r="A32" s="1">
        <v>45756</v>
      </c>
      <c r="B32" t="s">
        <v>7</v>
      </c>
      <c r="C32" t="s">
        <v>19</v>
      </c>
      <c r="D32" s="7">
        <v>-20.77</v>
      </c>
    </row>
    <row r="33" spans="1:4" x14ac:dyDescent="0.25">
      <c r="A33" s="1">
        <v>45756</v>
      </c>
      <c r="B33" t="s">
        <v>8</v>
      </c>
      <c r="C33" t="s">
        <v>36</v>
      </c>
      <c r="D33" s="7">
        <v>157.31</v>
      </c>
    </row>
    <row r="34" spans="1:4" x14ac:dyDescent="0.25">
      <c r="A34" s="1">
        <v>45760</v>
      </c>
      <c r="B34" t="s">
        <v>60</v>
      </c>
      <c r="C34" t="s">
        <v>35</v>
      </c>
      <c r="D34" s="7">
        <v>25</v>
      </c>
    </row>
    <row r="35" spans="1:4" x14ac:dyDescent="0.25">
      <c r="A35" s="1">
        <v>45761</v>
      </c>
      <c r="B35" t="s">
        <v>10</v>
      </c>
      <c r="C35" t="s">
        <v>16</v>
      </c>
      <c r="D35" s="7">
        <v>1166.2</v>
      </c>
    </row>
    <row r="36" spans="1:4" x14ac:dyDescent="0.25">
      <c r="A36" s="1">
        <v>45764</v>
      </c>
      <c r="B36" t="s">
        <v>10</v>
      </c>
      <c r="C36" t="s">
        <v>34</v>
      </c>
      <c r="D36" s="7">
        <v>1</v>
      </c>
    </row>
    <row r="37" spans="1:4" x14ac:dyDescent="0.25">
      <c r="A37" s="1">
        <v>45766</v>
      </c>
      <c r="B37" t="s">
        <v>60</v>
      </c>
      <c r="C37" t="s">
        <v>28</v>
      </c>
      <c r="D37" s="7">
        <v>25</v>
      </c>
    </row>
    <row r="38" spans="1:4" x14ac:dyDescent="0.25">
      <c r="A38" s="1">
        <v>45766</v>
      </c>
      <c r="B38" t="s">
        <v>60</v>
      </c>
      <c r="C38" t="s">
        <v>28</v>
      </c>
      <c r="D38" s="7">
        <v>-25</v>
      </c>
    </row>
    <row r="39" spans="1:4" x14ac:dyDescent="0.25">
      <c r="A39" s="1">
        <v>45766</v>
      </c>
      <c r="B39" t="s">
        <v>60</v>
      </c>
      <c r="C39" t="s">
        <v>28</v>
      </c>
      <c r="D39" s="7">
        <v>-25</v>
      </c>
    </row>
    <row r="40" spans="1:4" x14ac:dyDescent="0.25">
      <c r="A40" s="1">
        <v>45766</v>
      </c>
      <c r="B40" t="s">
        <v>60</v>
      </c>
      <c r="C40" t="s">
        <v>28</v>
      </c>
      <c r="D40" s="7">
        <v>-25</v>
      </c>
    </row>
    <row r="41" spans="1:4" x14ac:dyDescent="0.25">
      <c r="A41" s="1">
        <v>45766</v>
      </c>
      <c r="B41" t="s">
        <v>60</v>
      </c>
      <c r="C41" t="s">
        <v>31</v>
      </c>
      <c r="D41" s="7">
        <v>25</v>
      </c>
    </row>
    <row r="42" spans="1:4" x14ac:dyDescent="0.25">
      <c r="A42" s="1">
        <v>45766</v>
      </c>
      <c r="B42" t="s">
        <v>60</v>
      </c>
      <c r="C42" t="s">
        <v>32</v>
      </c>
      <c r="D42" s="7">
        <v>25</v>
      </c>
    </row>
    <row r="43" spans="1:4" x14ac:dyDescent="0.25">
      <c r="A43" s="1">
        <v>45766</v>
      </c>
      <c r="B43" t="s">
        <v>60</v>
      </c>
      <c r="C43" t="s">
        <v>33</v>
      </c>
      <c r="D43" s="7">
        <v>25</v>
      </c>
    </row>
    <row r="44" spans="1:4" x14ac:dyDescent="0.25">
      <c r="A44" s="1">
        <v>45767</v>
      </c>
      <c r="B44" t="s">
        <v>8</v>
      </c>
      <c r="C44" t="s">
        <v>30</v>
      </c>
      <c r="D44" s="7">
        <v>-1980</v>
      </c>
    </row>
    <row r="45" spans="1:4" x14ac:dyDescent="0.25">
      <c r="A45" s="1">
        <v>45771</v>
      </c>
      <c r="B45" t="s">
        <v>60</v>
      </c>
      <c r="C45" t="s">
        <v>28</v>
      </c>
      <c r="D45" s="7">
        <v>-25</v>
      </c>
    </row>
    <row r="46" spans="1:4" x14ac:dyDescent="0.25">
      <c r="A46" s="1">
        <v>45771</v>
      </c>
      <c r="B46" t="s">
        <v>25</v>
      </c>
      <c r="C46" t="s">
        <v>15</v>
      </c>
      <c r="D46" s="7">
        <v>-4.2699999999999996</v>
      </c>
    </row>
    <row r="47" spans="1:4" x14ac:dyDescent="0.25">
      <c r="A47" s="1">
        <v>45771</v>
      </c>
      <c r="B47" t="s">
        <v>25</v>
      </c>
      <c r="C47" t="s">
        <v>15</v>
      </c>
      <c r="D47" s="7">
        <v>-3.67</v>
      </c>
    </row>
    <row r="48" spans="1:4" x14ac:dyDescent="0.25">
      <c r="A48" s="1">
        <v>45771</v>
      </c>
      <c r="B48" t="s">
        <v>60</v>
      </c>
      <c r="C48" t="s">
        <v>29</v>
      </c>
      <c r="D48" s="7">
        <v>25</v>
      </c>
    </row>
    <row r="49" spans="1:4" x14ac:dyDescent="0.25">
      <c r="A49" s="1">
        <v>45772</v>
      </c>
      <c r="B49" t="s">
        <v>25</v>
      </c>
      <c r="C49" t="s">
        <v>15</v>
      </c>
      <c r="D49" s="7">
        <v>-5.92</v>
      </c>
    </row>
    <row r="50" spans="1:4" x14ac:dyDescent="0.25">
      <c r="A50" s="1">
        <v>45772</v>
      </c>
      <c r="B50" t="s">
        <v>25</v>
      </c>
      <c r="C50" t="s">
        <v>15</v>
      </c>
      <c r="D50" s="7">
        <v>-1.57</v>
      </c>
    </row>
    <row r="51" spans="1:4" x14ac:dyDescent="0.25">
      <c r="A51" s="1">
        <v>45773</v>
      </c>
      <c r="B51" t="s">
        <v>25</v>
      </c>
      <c r="C51" t="s">
        <v>15</v>
      </c>
      <c r="D51" s="7">
        <v>-1.46</v>
      </c>
    </row>
    <row r="52" spans="1:4" x14ac:dyDescent="0.25">
      <c r="A52" s="1">
        <v>45774</v>
      </c>
      <c r="B52" t="s">
        <v>7</v>
      </c>
      <c r="C52" t="s">
        <v>27</v>
      </c>
      <c r="D52" s="7">
        <v>-22.14</v>
      </c>
    </row>
    <row r="53" spans="1:4" x14ac:dyDescent="0.25">
      <c r="A53" s="1">
        <v>45775</v>
      </c>
      <c r="B53" t="s">
        <v>25</v>
      </c>
      <c r="C53" t="s">
        <v>15</v>
      </c>
      <c r="D53" s="7">
        <v>-3.22</v>
      </c>
    </row>
    <row r="54" spans="1:4" x14ac:dyDescent="0.25">
      <c r="A54" s="1">
        <v>45775</v>
      </c>
      <c r="B54" t="s">
        <v>25</v>
      </c>
      <c r="C54" t="s">
        <v>15</v>
      </c>
      <c r="D54" s="7">
        <v>-38.229999999999997</v>
      </c>
    </row>
    <row r="55" spans="1:4" x14ac:dyDescent="0.25">
      <c r="A55" s="1">
        <v>45776</v>
      </c>
      <c r="B55" t="s">
        <v>8</v>
      </c>
      <c r="C55" t="s">
        <v>26</v>
      </c>
      <c r="D55" s="7">
        <v>-20.97</v>
      </c>
    </row>
    <row r="56" spans="1:4" x14ac:dyDescent="0.25">
      <c r="A56" s="1">
        <v>45776</v>
      </c>
      <c r="B56" t="s">
        <v>25</v>
      </c>
      <c r="C56" t="s">
        <v>15</v>
      </c>
      <c r="D56" s="7">
        <v>-64.98</v>
      </c>
    </row>
    <row r="57" spans="1:4" x14ac:dyDescent="0.25">
      <c r="A57" s="1">
        <v>45777</v>
      </c>
      <c r="B57" t="s">
        <v>25</v>
      </c>
      <c r="C57" t="s">
        <v>15</v>
      </c>
      <c r="D57" s="7">
        <v>-6.8</v>
      </c>
    </row>
    <row r="58" spans="1:4" x14ac:dyDescent="0.25">
      <c r="A58" s="1">
        <v>45808</v>
      </c>
      <c r="B58" t="s">
        <v>25</v>
      </c>
      <c r="C58" t="s">
        <v>41</v>
      </c>
      <c r="D58" s="7">
        <v>-9.7100000000000009</v>
      </c>
    </row>
    <row r="59" spans="1:4" x14ac:dyDescent="0.25">
      <c r="A59" s="1">
        <v>45808</v>
      </c>
      <c r="B59" t="s">
        <v>25</v>
      </c>
      <c r="C59" t="s">
        <v>15</v>
      </c>
      <c r="D59" s="7">
        <v>-24.17</v>
      </c>
    </row>
    <row r="60" spans="1:4" x14ac:dyDescent="0.25">
      <c r="A60" s="1">
        <v>45807</v>
      </c>
      <c r="B60" t="s">
        <v>25</v>
      </c>
      <c r="C60" t="s">
        <v>41</v>
      </c>
      <c r="D60" s="7">
        <v>-5.9</v>
      </c>
    </row>
    <row r="61" spans="1:4" x14ac:dyDescent="0.25">
      <c r="A61" s="1">
        <v>45806</v>
      </c>
      <c r="B61" t="s">
        <v>60</v>
      </c>
      <c r="C61" t="s">
        <v>42</v>
      </c>
      <c r="D61" s="7">
        <v>-19</v>
      </c>
    </row>
    <row r="62" spans="1:4" x14ac:dyDescent="0.25">
      <c r="A62" s="1">
        <v>45806</v>
      </c>
      <c r="B62" t="s">
        <v>60</v>
      </c>
      <c r="C62" t="s">
        <v>43</v>
      </c>
      <c r="D62" s="7">
        <v>-18.559999999999999</v>
      </c>
    </row>
    <row r="63" spans="1:4" x14ac:dyDescent="0.25">
      <c r="A63" s="1">
        <v>45806</v>
      </c>
      <c r="B63" t="s">
        <v>60</v>
      </c>
      <c r="C63" t="s">
        <v>44</v>
      </c>
      <c r="D63" s="7">
        <v>-22</v>
      </c>
    </row>
    <row r="64" spans="1:4" x14ac:dyDescent="0.25">
      <c r="A64" s="1">
        <v>45806</v>
      </c>
      <c r="B64" t="s">
        <v>25</v>
      </c>
      <c r="C64" t="s">
        <v>45</v>
      </c>
      <c r="D64" s="7">
        <v>-109.55</v>
      </c>
    </row>
    <row r="65" spans="1:4" x14ac:dyDescent="0.25">
      <c r="A65" s="1">
        <v>45806</v>
      </c>
      <c r="B65" t="s">
        <v>9</v>
      </c>
      <c r="C65" t="s">
        <v>39</v>
      </c>
      <c r="D65" s="7">
        <v>-42.63</v>
      </c>
    </row>
    <row r="66" spans="1:4" x14ac:dyDescent="0.25">
      <c r="A66" s="1">
        <v>45805</v>
      </c>
      <c r="B66" t="s">
        <v>25</v>
      </c>
      <c r="C66" t="s">
        <v>15</v>
      </c>
      <c r="D66" s="7">
        <v>-3.46</v>
      </c>
    </row>
    <row r="67" spans="1:4" x14ac:dyDescent="0.25">
      <c r="A67" s="1">
        <v>45804</v>
      </c>
      <c r="B67" t="s">
        <v>60</v>
      </c>
      <c r="C67" t="s">
        <v>46</v>
      </c>
      <c r="D67" s="7">
        <v>-40</v>
      </c>
    </row>
    <row r="68" spans="1:4" x14ac:dyDescent="0.25">
      <c r="A68" s="1">
        <v>45804</v>
      </c>
      <c r="B68" t="s">
        <v>25</v>
      </c>
      <c r="C68" t="s">
        <v>15</v>
      </c>
      <c r="D68" s="7">
        <v>-2.09</v>
      </c>
    </row>
    <row r="69" spans="1:4" x14ac:dyDescent="0.25">
      <c r="A69" s="1">
        <v>45804</v>
      </c>
      <c r="B69" t="s">
        <v>25</v>
      </c>
      <c r="C69" t="s">
        <v>15</v>
      </c>
      <c r="D69" s="7">
        <v>-4.93</v>
      </c>
    </row>
    <row r="70" spans="1:4" x14ac:dyDescent="0.25">
      <c r="A70" s="1">
        <v>45804</v>
      </c>
      <c r="B70" t="s">
        <v>9</v>
      </c>
      <c r="C70" t="s">
        <v>39</v>
      </c>
      <c r="D70" s="7">
        <v>-86</v>
      </c>
    </row>
    <row r="71" spans="1:4" x14ac:dyDescent="0.25">
      <c r="A71" s="1">
        <v>45802</v>
      </c>
      <c r="B71" t="s">
        <v>25</v>
      </c>
      <c r="C71" t="s">
        <v>22</v>
      </c>
      <c r="D71" s="7">
        <v>-8.42</v>
      </c>
    </row>
    <row r="72" spans="1:4" x14ac:dyDescent="0.25">
      <c r="A72" s="1">
        <v>45800</v>
      </c>
      <c r="B72" t="s">
        <v>10</v>
      </c>
      <c r="C72" t="s">
        <v>47</v>
      </c>
      <c r="D72" s="7">
        <v>50</v>
      </c>
    </row>
    <row r="73" spans="1:4" x14ac:dyDescent="0.25">
      <c r="A73" s="1">
        <v>45800</v>
      </c>
      <c r="B73" t="s">
        <v>7</v>
      </c>
      <c r="C73" t="s">
        <v>19</v>
      </c>
      <c r="D73" s="7">
        <v>-20.010000000000002</v>
      </c>
    </row>
    <row r="74" spans="1:4" x14ac:dyDescent="0.25">
      <c r="A74" s="1">
        <v>45800</v>
      </c>
      <c r="B74" t="s">
        <v>25</v>
      </c>
      <c r="C74" t="s">
        <v>15</v>
      </c>
      <c r="D74" s="7">
        <v>-2.09</v>
      </c>
    </row>
    <row r="75" spans="1:4" x14ac:dyDescent="0.25">
      <c r="A75" s="1">
        <v>45800</v>
      </c>
      <c r="B75" t="s">
        <v>25</v>
      </c>
      <c r="C75" t="s">
        <v>15</v>
      </c>
      <c r="D75" s="7">
        <v>-1.89</v>
      </c>
    </row>
    <row r="76" spans="1:4" x14ac:dyDescent="0.25">
      <c r="A76" s="1">
        <v>45799</v>
      </c>
      <c r="B76" t="s">
        <v>10</v>
      </c>
      <c r="C76" t="s">
        <v>34</v>
      </c>
      <c r="D76" s="7">
        <v>2</v>
      </c>
    </row>
    <row r="77" spans="1:4" x14ac:dyDescent="0.25">
      <c r="A77" s="1">
        <v>45799</v>
      </c>
      <c r="B77" t="s">
        <v>8</v>
      </c>
      <c r="C77" t="s">
        <v>48</v>
      </c>
      <c r="D77" s="7">
        <v>-72.5</v>
      </c>
    </row>
    <row r="78" spans="1:4" x14ac:dyDescent="0.25">
      <c r="A78" s="1">
        <v>45799</v>
      </c>
      <c r="B78" t="s">
        <v>60</v>
      </c>
      <c r="C78" t="s">
        <v>49</v>
      </c>
      <c r="D78" s="7">
        <v>-2</v>
      </c>
    </row>
    <row r="79" spans="1:4" x14ac:dyDescent="0.25">
      <c r="A79" s="1">
        <v>45799</v>
      </c>
      <c r="B79" t="s">
        <v>60</v>
      </c>
      <c r="C79" t="s">
        <v>50</v>
      </c>
      <c r="D79" s="7">
        <v>-9.4700000000000006</v>
      </c>
    </row>
    <row r="80" spans="1:4" x14ac:dyDescent="0.25">
      <c r="A80" s="1">
        <v>45799</v>
      </c>
      <c r="B80" t="s">
        <v>7</v>
      </c>
      <c r="C80" t="s">
        <v>51</v>
      </c>
      <c r="D80" s="7">
        <v>-17.600000000000001</v>
      </c>
    </row>
    <row r="81" spans="1:4" x14ac:dyDescent="0.25">
      <c r="A81" s="1">
        <v>45799</v>
      </c>
      <c r="B81" t="s">
        <v>7</v>
      </c>
      <c r="C81" t="s">
        <v>52</v>
      </c>
      <c r="D81" s="7">
        <v>-5</v>
      </c>
    </row>
    <row r="82" spans="1:4" x14ac:dyDescent="0.25">
      <c r="A82" s="1">
        <v>45798</v>
      </c>
      <c r="B82" t="s">
        <v>25</v>
      </c>
      <c r="C82" t="s">
        <v>53</v>
      </c>
      <c r="D82" s="7">
        <v>-12.09</v>
      </c>
    </row>
    <row r="83" spans="1:4" x14ac:dyDescent="0.25">
      <c r="A83" s="1">
        <v>45798</v>
      </c>
      <c r="B83" t="s">
        <v>25</v>
      </c>
      <c r="C83" t="s">
        <v>15</v>
      </c>
      <c r="D83" s="7">
        <v>-2.09</v>
      </c>
    </row>
    <row r="84" spans="1:4" x14ac:dyDescent="0.25">
      <c r="A84" s="1">
        <v>45798</v>
      </c>
      <c r="B84" t="s">
        <v>25</v>
      </c>
      <c r="C84" t="s">
        <v>54</v>
      </c>
      <c r="D84" s="7">
        <v>-43.65</v>
      </c>
    </row>
    <row r="85" spans="1:4" x14ac:dyDescent="0.25">
      <c r="A85" s="1">
        <v>45796</v>
      </c>
      <c r="B85" t="s">
        <v>25</v>
      </c>
      <c r="C85" t="s">
        <v>41</v>
      </c>
      <c r="D85" s="7">
        <v>-6.11</v>
      </c>
    </row>
    <row r="86" spans="1:4" x14ac:dyDescent="0.25">
      <c r="A86" s="1">
        <v>45796</v>
      </c>
      <c r="B86" t="s">
        <v>25</v>
      </c>
      <c r="C86" t="s">
        <v>15</v>
      </c>
      <c r="D86" s="7">
        <v>-1.46</v>
      </c>
    </row>
    <row r="87" spans="1:4" x14ac:dyDescent="0.25">
      <c r="A87" s="1">
        <v>45794</v>
      </c>
      <c r="B87" t="s">
        <v>25</v>
      </c>
      <c r="C87" t="s">
        <v>22</v>
      </c>
      <c r="D87" s="7">
        <v>-28.65</v>
      </c>
    </row>
    <row r="88" spans="1:4" x14ac:dyDescent="0.25">
      <c r="A88" s="1">
        <v>45793</v>
      </c>
      <c r="B88" t="s">
        <v>25</v>
      </c>
      <c r="C88" t="s">
        <v>15</v>
      </c>
      <c r="D88" s="7">
        <v>-4.67</v>
      </c>
    </row>
    <row r="89" spans="1:4" x14ac:dyDescent="0.25">
      <c r="A89" s="1">
        <v>45793</v>
      </c>
      <c r="B89" t="s">
        <v>25</v>
      </c>
      <c r="C89" t="s">
        <v>15</v>
      </c>
      <c r="D89" s="7">
        <v>-30.37</v>
      </c>
    </row>
    <row r="90" spans="1:4" x14ac:dyDescent="0.25">
      <c r="A90" s="1">
        <v>45792</v>
      </c>
      <c r="B90" t="s">
        <v>25</v>
      </c>
      <c r="C90" t="s">
        <v>15</v>
      </c>
      <c r="D90" s="7">
        <v>-2.93</v>
      </c>
    </row>
    <row r="91" spans="1:4" x14ac:dyDescent="0.25">
      <c r="A91" s="1">
        <v>45791</v>
      </c>
      <c r="B91" t="s">
        <v>7</v>
      </c>
      <c r="C91" t="s">
        <v>19</v>
      </c>
      <c r="D91" s="7">
        <v>-21.15</v>
      </c>
    </row>
    <row r="92" spans="1:4" x14ac:dyDescent="0.25">
      <c r="A92" s="1">
        <v>45790</v>
      </c>
      <c r="B92" t="s">
        <v>25</v>
      </c>
      <c r="C92" t="s">
        <v>15</v>
      </c>
      <c r="D92" s="7">
        <v>-1.05</v>
      </c>
    </row>
    <row r="93" spans="1:4" x14ac:dyDescent="0.25">
      <c r="A93" s="1">
        <v>45789</v>
      </c>
      <c r="B93" t="s">
        <v>25</v>
      </c>
      <c r="C93" t="s">
        <v>41</v>
      </c>
      <c r="D93" s="7">
        <v>-12.82</v>
      </c>
    </row>
    <row r="94" spans="1:4" x14ac:dyDescent="0.25">
      <c r="A94" s="1">
        <v>45788</v>
      </c>
      <c r="B94" t="s">
        <v>25</v>
      </c>
      <c r="C94" t="s">
        <v>15</v>
      </c>
      <c r="D94" s="7">
        <v>-0.51</v>
      </c>
    </row>
    <row r="95" spans="1:4" x14ac:dyDescent="0.25">
      <c r="A95" s="1">
        <v>45788</v>
      </c>
      <c r="B95" t="s">
        <v>25</v>
      </c>
      <c r="C95" t="s">
        <v>15</v>
      </c>
      <c r="D95" s="7">
        <v>-2.09</v>
      </c>
    </row>
    <row r="96" spans="1:4" x14ac:dyDescent="0.25">
      <c r="A96" s="1">
        <v>45787</v>
      </c>
      <c r="B96" t="s">
        <v>25</v>
      </c>
      <c r="C96" t="s">
        <v>15</v>
      </c>
      <c r="D96" s="7">
        <v>-1.46</v>
      </c>
    </row>
    <row r="97" spans="1:4" x14ac:dyDescent="0.25">
      <c r="A97" s="1">
        <v>45787</v>
      </c>
      <c r="B97" t="s">
        <v>25</v>
      </c>
      <c r="C97" t="s">
        <v>15</v>
      </c>
      <c r="D97" s="7">
        <v>-2.0699999999999998</v>
      </c>
    </row>
    <row r="98" spans="1:4" x14ac:dyDescent="0.25">
      <c r="A98" s="1">
        <v>45786</v>
      </c>
      <c r="B98" t="s">
        <v>10</v>
      </c>
      <c r="C98" t="s">
        <v>16</v>
      </c>
      <c r="D98" s="7">
        <v>1000</v>
      </c>
    </row>
    <row r="99" spans="1:4" x14ac:dyDescent="0.25">
      <c r="A99" s="1">
        <v>45786</v>
      </c>
      <c r="B99" t="s">
        <v>8</v>
      </c>
      <c r="C99" t="s">
        <v>55</v>
      </c>
      <c r="D99" s="7">
        <v>-44.94</v>
      </c>
    </row>
    <row r="100" spans="1:4" x14ac:dyDescent="0.25">
      <c r="A100" s="1">
        <v>45785</v>
      </c>
      <c r="B100" t="s">
        <v>25</v>
      </c>
      <c r="C100" t="s">
        <v>15</v>
      </c>
      <c r="D100" s="7">
        <v>-32.74</v>
      </c>
    </row>
    <row r="101" spans="1:4" x14ac:dyDescent="0.25">
      <c r="A101" s="1">
        <v>45784</v>
      </c>
      <c r="B101" t="s">
        <v>9</v>
      </c>
      <c r="C101" t="s">
        <v>56</v>
      </c>
      <c r="D101" s="7">
        <v>-120.7</v>
      </c>
    </row>
    <row r="102" spans="1:4" x14ac:dyDescent="0.25">
      <c r="A102" s="1">
        <v>45784</v>
      </c>
      <c r="B102" t="s">
        <v>25</v>
      </c>
      <c r="C102" t="s">
        <v>15</v>
      </c>
      <c r="D102" s="7">
        <v>-11.18</v>
      </c>
    </row>
    <row r="103" spans="1:4" x14ac:dyDescent="0.25">
      <c r="A103" s="1">
        <v>45784</v>
      </c>
      <c r="B103" t="s">
        <v>25</v>
      </c>
      <c r="C103" t="s">
        <v>15</v>
      </c>
      <c r="D103" s="7">
        <v>-3.1</v>
      </c>
    </row>
    <row r="104" spans="1:4" x14ac:dyDescent="0.25">
      <c r="A104" s="1">
        <v>45783</v>
      </c>
      <c r="B104" t="s">
        <v>10</v>
      </c>
      <c r="C104" t="s">
        <v>16</v>
      </c>
      <c r="D104" s="7">
        <v>1000</v>
      </c>
    </row>
    <row r="105" spans="1:4" x14ac:dyDescent="0.25">
      <c r="A105" s="1">
        <v>45783</v>
      </c>
      <c r="B105" t="s">
        <v>25</v>
      </c>
      <c r="C105" t="s">
        <v>22</v>
      </c>
      <c r="D105" s="7">
        <v>-4.79</v>
      </c>
    </row>
    <row r="106" spans="1:4" x14ac:dyDescent="0.25">
      <c r="A106" s="1">
        <v>45783</v>
      </c>
      <c r="B106" t="s">
        <v>25</v>
      </c>
      <c r="C106" t="s">
        <v>41</v>
      </c>
      <c r="D106" s="7">
        <v>-3.19</v>
      </c>
    </row>
    <row r="107" spans="1:4" x14ac:dyDescent="0.25">
      <c r="A107" s="1">
        <v>45782</v>
      </c>
      <c r="B107" t="s">
        <v>8</v>
      </c>
      <c r="C107" t="s">
        <v>57</v>
      </c>
      <c r="D107" s="7">
        <v>-8.11</v>
      </c>
    </row>
    <row r="108" spans="1:4" x14ac:dyDescent="0.25">
      <c r="A108" s="1">
        <v>45782</v>
      </c>
      <c r="B108" t="s">
        <v>7</v>
      </c>
      <c r="C108" t="s">
        <v>19</v>
      </c>
      <c r="D108" s="7">
        <v>-18.39</v>
      </c>
    </row>
    <row r="109" spans="1:4" x14ac:dyDescent="0.25">
      <c r="A109" s="1">
        <v>45782</v>
      </c>
      <c r="B109" t="s">
        <v>25</v>
      </c>
      <c r="C109" t="s">
        <v>15</v>
      </c>
      <c r="D109" s="7">
        <v>-4.46</v>
      </c>
    </row>
    <row r="110" spans="1:4" x14ac:dyDescent="0.25">
      <c r="A110" s="1">
        <v>45781</v>
      </c>
      <c r="B110" t="s">
        <v>25</v>
      </c>
      <c r="C110" t="s">
        <v>22</v>
      </c>
      <c r="D110" s="7">
        <v>-3.01</v>
      </c>
    </row>
    <row r="111" spans="1:4" x14ac:dyDescent="0.25">
      <c r="A111" s="1">
        <v>45781</v>
      </c>
      <c r="B111" t="s">
        <v>25</v>
      </c>
      <c r="C111" t="s">
        <v>41</v>
      </c>
      <c r="D111" s="7">
        <v>-9.4700000000000006</v>
      </c>
    </row>
    <row r="112" spans="1:4" x14ac:dyDescent="0.25">
      <c r="A112" s="1">
        <v>45780</v>
      </c>
      <c r="B112" t="s">
        <v>60</v>
      </c>
      <c r="C112" t="s">
        <v>58</v>
      </c>
      <c r="D112" s="7">
        <v>-25.8</v>
      </c>
    </row>
    <row r="113" spans="1:4" x14ac:dyDescent="0.25">
      <c r="A113" s="1">
        <v>45779</v>
      </c>
      <c r="B113" t="s">
        <v>25</v>
      </c>
      <c r="C113" t="s">
        <v>15</v>
      </c>
      <c r="D113" s="7">
        <v>-8.58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F87BAEA-0735-4A68-8D09-09185DB40A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Main</vt:lpstr>
      <vt:lpstr>January</vt:lpstr>
      <vt:lpstr>February</vt:lpstr>
      <vt:lpstr>March</vt:lpstr>
      <vt:lpstr>April</vt:lpstr>
      <vt:lpstr>May</vt:lpstr>
      <vt:lpstr>June</vt:lpstr>
      <vt:lpstr>July</vt:lpstr>
      <vt:lpstr>August</vt:lpstr>
      <vt:lpstr>September</vt:lpstr>
      <vt:lpstr>October</vt:lpstr>
      <vt:lpstr>November</vt:lpstr>
      <vt:lpstr>December</vt:lpstr>
      <vt:lpstr>Categories</vt:lpstr>
      <vt:lpstr>master_table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Thompson</dc:creator>
  <cp:lastModifiedBy>Kevin Thompson</cp:lastModifiedBy>
  <dcterms:created xsi:type="dcterms:W3CDTF">2025-06-05T23:49:57Z</dcterms:created>
  <dcterms:modified xsi:type="dcterms:W3CDTF">2025-06-27T13:42:22Z</dcterms:modified>
</cp:coreProperties>
</file>